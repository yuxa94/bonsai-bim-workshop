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aeb36389e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a review" sheetId="1" r:id="R8d9e9eac60314ac0"/>
    <x:sheet xmlns:r="http://schemas.openxmlformats.org/officeDocument/2006/relationships" name="IFC objects" sheetId="2" r:id="R5f459c394fc945de"/>
    <x:sheet xmlns:r="http://schemas.openxmlformats.org/officeDocument/2006/relationships" name="Unit slabs" sheetId="3" r:id="Rc20ecd9149784fbb"/>
    <x:sheet xmlns:r="http://schemas.openxmlformats.org/officeDocument/2006/relationships" name="Source dimensions" sheetId="4" r:id="R800eee997a24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000"/>
    <x:numFmt numFmtId="201" formatCode="0.000000"/>
    <x:numFmt numFmtId="202" formatCode="@"/>
  </x:numFmts>
  <x:fonts count="5">
    <x:font>
      <x:sz val="11"/>
      <x:name val="Carlito"/>
    </x:font>
    <x:font>
      <x:sz val="11"/>
      <x:color rgb="FF172B44"/>
      <x:name val="Malgun Gothic"/>
    </x:font>
    <x:font>
      <x:b/>
      <x:sz val="17"/>
      <x:color rgb="FF243852"/>
      <x:name val="Malgun Gothic"/>
    </x:font>
    <x:font>
      <x:sz val="11"/>
      <x:color rgb="FF58677B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43852"/>
      </x:patternFill>
    </x:fill>
    <x:fill>
      <x:patternFill patternType="solid">
        <x:fgColor rgb="FFFFF0CC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0f9f621754430" /><Relationship Type="http://schemas.openxmlformats.org/officeDocument/2006/relationships/theme" Target="/xl/theme/theme1.xml" Id="R015bae441e844bca" /><Relationship Type="http://schemas.openxmlformats.org/officeDocument/2006/relationships/sharedStrings" Target="/xl/sharedStrings.xml" Id="Rea23637500d14df9" /><Relationship Type="http://schemas.openxmlformats.org/officeDocument/2006/relationships/worksheet" Target="/xl/worksheets/sheet1.xml" Id="R8d9e9eac60314ac0" /><Relationship Type="http://schemas.openxmlformats.org/officeDocument/2006/relationships/worksheet" Target="/xl/worksheets/sheet2.xml" Id="R5f459c394fc945de" /><Relationship Type="http://schemas.openxmlformats.org/officeDocument/2006/relationships/worksheet" Target="/xl/worksheets/sheet3.xml" Id="Rc20ecd9149784fbb" /><Relationship Type="http://schemas.openxmlformats.org/officeDocument/2006/relationships/worksheet" Target="/xl/worksheets/sheet4.xml" Id="R800eee997a2448db" /></Relationships>
</file>

<file path=xl/tables/table1.xml><?xml version="1.0" encoding="utf-8"?>
<x:table xmlns:x="http://schemas.openxmlformats.org/spreadsheetml/2006/main" id="1" name="ObjectAreas" displayName="ObjectAreas" ref="A6:L81" headerRowCount="1" totalsRowCount="0" totalsRowShown="0">
  <x:autoFilter ref="A6:L81"/>
  <x:tableColumns count="12">
    <x:tableColumn id="1" name="inputfile"/>
    <x:tableColumn id="2" name="GUID"/>
    <x:tableColumn id="3" name="class"/>
    <x:tableColumn id="4" name="storey"/>
    <x:tableColumn id="5" name="basis"/>
    <x:tableColumn id="6" name="area"/>
    <x:tableColumn id="7" name="unit"/>
    <x:tableColumn id="8" name="limitations"/>
    <x:tableColumn id="9" name="name"/>
    <x:tableColumn id="10" name="classification"/>
    <x:tableColumn id="11" name="type_GUID"/>
    <x:tableColumn id="12" name="source_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20c9edaeea4722" /></Relationships>
</file>

<file path=xl/worksheets/sheet1.xml><?xml version="1.0" encoding="utf-8"?>
<x:worksheet xmlns:x="http://schemas.openxmlformats.org/spreadsheetml/2006/main">
  <x:sheetPr>
    <x:tabColor rgb="FF243852"/>
  </x:sheetPr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22" hidden="0" customWidth="1"/>
    <x:col min="4" max="4" width="23" hidden="0" customWidth="1"/>
    <x:col min="5" max="5" width="22" hidden="0" customWidth="1"/>
    <x:col min="6" max="6" width="20" hidden="0" customWidth="1"/>
    <x:col min="7" max="7" width="43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</x:row>
    <x:row r="2" ht="27" customHeight="1">
      <x:c r="A2" s="2"/>
      <x:c r="B2" s="3" t="str">
        <x:v>IFC area review</x:v>
      </x:c>
      <x:c r="C2" s="2"/>
      <x:c r="D2" s="2"/>
      <x:c r="E2" s="2"/>
      <x:c r="F2" s="2"/>
      <x:c r="G2" s="2"/>
    </x:row>
    <x:row r="3" ht="27" customHeight="1">
      <x:c r="A3" s="2"/>
      <x:c r="B3" s="4" t="str">
        <x:v>One unit + one floor. Saved geometry, read only.</x:v>
      </x:c>
      <x:c r="C3" s="2"/>
      <x:c r="D3" s="2"/>
      <x:c r="E3" s="2"/>
      <x:c r="F3" s="2"/>
      <x:c r="G3" s="2"/>
    </x:row>
    <x:row r="4" ht="27" customHeight="1">
      <x:c r="A4" s="2"/>
      <x:c r="B4" s="2"/>
      <x:c r="C4" s="2"/>
      <x:c r="D4" s="2"/>
      <x:c r="E4" s="2"/>
      <x:c r="F4" s="2"/>
      <x:c r="G4" s="2"/>
    </x:row>
    <x:row r="5" ht="39" customHeight="1">
      <x:c r="A5" s="2"/>
      <x:c r="B5" s="7" t="str">
        <x:v>IFC file</x:v>
      </x:c>
      <x:c r="C5" s="7" t="str">
        <x:v>Floor XY union
(m²)</x:v>
      </x:c>
      <x:c r="D5" s="7" t="str">
        <x:v>Registered unit slabs
(m²)</x:v>
      </x:c>
      <x:c r="E5" s="7" t="str">
        <x:v>Outside unit slabs
(m²)</x:v>
      </x:c>
      <x:c r="F5" s="7" t="str">
        <x:v>Spaces with geometry</x:v>
      </x:c>
      <x:c r="G5" s="7" t="str">
        <x:v>Area boundary</x:v>
      </x:c>
    </x:row>
    <x:row r="6" ht="40" customHeight="1">
      <x:c r="A6" s="2"/>
      <x:c r="B6" s="2" t="str">
        <x:v>25B.ifc</x:v>
      </x:c>
      <x:c r="C6" s="8" t="n">
        <x:v>30.1908</x:v>
      </x:c>
      <x:c r="D6" s="8" t="str">
        <x:v>n.a.</x:v>
      </x:c>
      <x:c r="E6" s="8" t="str">
        <x:v>n.a.</x:v>
      </x:c>
      <x:c r="F6" s="2" t="str">
        <x:v>5 / 5</x:v>
      </x:c>
      <x:c r="G6" s="2" t="str">
        <x:v>Standalone unit slabs</x:v>
      </x:c>
    </x:row>
    <x:row r="7" ht="40" customHeight="1">
      <x:c r="A7" s="2"/>
      <x:c r="B7" s="2" t="str">
        <x:v>A32-05.ifc</x:v>
      </x:c>
      <x:c r="C7" s="8" t="n">
        <x:v>994.5318000000003</x:v>
      </x:c>
      <x:c r="D7" s="8" t="n">
        <x:v>749.5141847081719</x:v>
      </x:c>
      <x:c r="E7" s="8" t="n">
        <x:v>245.01761529182826</x:v>
      </x:c>
      <x:c r="F7" s="2" t="str">
        <x:v>0 / 14</x:v>
      </x:c>
      <x:c r="G7" s="2" t="str">
        <x:v>14 registered unit slabs + other floor</x:v>
      </x:c>
    </x:row>
    <x:row r="8" ht="27" customHeight="1">
      <x:c r="A8" s="2"/>
      <x:c r="B8" s="2"/>
      <x:c r="C8" s="2"/>
      <x:c r="D8" s="2"/>
      <x:c r="E8" s="2"/>
      <x:c r="F8" s="2"/>
      <x:c r="G8" s="2"/>
    </x:row>
    <x:row r="9" ht="39" customHeight="1">
      <x:c r="A9" s="2"/>
      <x:c r="B9" s="7" t="str">
        <x:v>Separate observations</x:v>
      </x:c>
      <x:c r="C9" s="7" t="str">
        <x:v>Area (m²)</x:v>
      </x:c>
      <x:c r="D9" s="7" t="str">
        <x:v>Count</x:v>
      </x:c>
      <x:c r="E9" s="7" t="str">
        <x:v>Source</x:v>
      </x:c>
      <x:c r="F9" s="7" t="str">
        <x:v>Method</x:v>
      </x:c>
      <x:c r="G9" s="7" t="str">
        <x:v>Meaning</x:v>
      </x:c>
    </x:row>
    <x:row r="10" ht="27" customHeight="1">
      <x:c r="A10" s="2"/>
      <x:c r="B10" s="2" t="str">
        <x:v>25B room spaces</x:v>
      </x:c>
      <x:c r="C10" s="8" t="n">
        <x:f>SUMIFS('IFC objects'!$F$7:$F$81,'IFC objects'!$A$7:$A$81,"25B.ifc",'IFC objects'!$C$7:$C$81,"IfcSpace")</x:f>
        <x:v>23.7256</x:v>
      </x:c>
      <x:c r="D10" s="2" t="n">
        <x:v>5</x:v>
      </x:c>
      <x:c r="E10" s="2" t="str">
        <x:v>25B.ifc</x:v>
      </x:c>
      <x:c r="F10" s="2" t="str">
        <x:v>Space profile sum</x:v>
      </x:c>
      <x:c r="G10" s="2" t="str">
        <x:v>Different boundary from slab union</x:v>
      </x:c>
    </x:row>
    <x:row r="11" ht="27" customHeight="1">
      <x:c r="A11" s="2"/>
      <x:c r="B11" s="2" t="str">
        <x:v>A32-05 room spaces</x:v>
      </x:c>
      <x:c r="C11" s="8" t="str">
        <x:v>n.a.</x:v>
      </x:c>
      <x:c r="D11" s="2" t="n">
        <x:v>14</x:v>
      </x:c>
      <x:c r="E11" s="2" t="str">
        <x:v>A32-05.ifc</x:v>
      </x:c>
      <x:c r="F11" s="2" t="str">
        <x:v>No representation</x:v>
      </x:c>
      <x:c r="G11" s="2" t="str">
        <x:v>Missing area, not zero</x:v>
      </x:c>
    </x:row>
    <x:row r="12" ht="27" customHeight="1">
      <x:c r="A12" s="2"/>
      <x:c r="B12" s="2" t="str">
        <x:v>A32-05 landings</x:v>
      </x:c>
      <x:c r="C12" s="8" t="n">
        <x:v>11.448</x:v>
      </x:c>
      <x:c r="D12" s="2" t="n">
        <x:v>4</x:v>
      </x:c>
      <x:c r="E12" s="2" t="str">
        <x:v>A32-05.ifc</x:v>
      </x:c>
      <x:c r="F12" s="2" t="str">
        <x:v>Separate XY union</x:v>
      </x:c>
      <x:c r="G12" s="2" t="str">
        <x:v>Excluded from ordinary floor union</x:v>
      </x:c>
    </x:row>
    <x:row r="13" ht="27" customHeight="1">
      <x:c r="A13" s="2"/>
      <x:c r="B13" s="2"/>
      <x:c r="C13" s="2"/>
      <x:c r="D13" s="2"/>
      <x:c r="E13" s="2"/>
      <x:c r="F13" s="2"/>
      <x:c r="G13" s="2"/>
    </x:row>
    <x:row r="14" ht="33" customHeight="1">
      <x:c r="A14" s="2"/>
      <x:c r="B14" s="9" t="str">
        <x:v>Different boundaries: do not add the rows together.</x:v>
      </x:c>
      <x:c r="C14" s="9"/>
      <x:c r="D14" s="9"/>
      <x:c r="E14" s="9"/>
      <x:c r="F14" s="9"/>
      <x:c r="G14" s="9"/>
    </x:row>
    <x:row r="15" ht="27" customHeight="1">
      <x:c r="A15" s="2"/>
      <x:c r="B15" s="2"/>
      <x:c r="C15" s="2"/>
      <x:c r="D15" s="2"/>
      <x:c r="E15" s="2"/>
      <x:c r="F15" s="2"/>
      <x:c r="G15" s="2"/>
    </x:row>
    <x:row r="16" ht="27" customHeight="1">
      <x:c r="A16" s="2"/>
      <x:c r="B16" s="2" t="str">
        <x:v>Space projection</x:v>
      </x:c>
      <x:c r="C16" s="2" t="str">
        <x:v>Placed IfcSpace profile. Some spaces are identifiers without geometry.</x:v>
      </x:c>
      <x:c r="D16" s="2"/>
      <x:c r="E16" s="2"/>
      <x:c r="F16" s="2"/>
      <x:c r="G16" s="2"/>
    </x:row>
    <x:row r="17" ht="27" customHeight="1">
      <x:c r="A17" s="2"/>
      <x:c r="B17" s="2" t="str">
        <x:v>Slab projection</x:v>
      </x:c>
      <x:c r="C17" s="2" t="str">
        <x:v>Union of ordinary slab profiles per storey. No bbox or display-mesh substitution.</x:v>
      </x:c>
      <x:c r="D17" s="2"/>
      <x:c r="E17" s="2"/>
      <x:c r="F17" s="2"/>
      <x:c r="G17" s="2"/>
    </x:row>
    <x:row r="18" ht="27" customHeight="1">
      <x:c r="A18" s="2"/>
      <x:c r="B18" s="2" t="str">
        <x:v>Source dimensions</x:v>
      </x:c>
      <x:c r="C18" s="2" t="str">
        <x:v>A32 25-type drawing worksheet is separate from standalone 25B and IFC geometry.</x:v>
      </x:c>
      <x:c r="D18" s="2"/>
      <x:c r="E18" s="2"/>
      <x:c r="F18" s="2"/>
      <x:c r="G18" s="2"/>
    </x:row>
    <x:row r="19" ht="27" customHeight="1">
      <x:c r="A19" s="2"/>
      <x:c r="B19" s="2" t="str">
        <x:v>Legal areas</x:v>
      </x:c>
      <x:c r="C19" s="2" t="str">
        <x:v>Exclusive / common / gross statutory boundaries are not certified here.</x:v>
      </x:c>
      <x:c r="D19" s="2"/>
      <x:c r="E19" s="2"/>
      <x:c r="F19" s="2"/>
      <x:c r="G19" s="2"/>
    </x:row>
    <x:row r="20" ht="27" customHeight="1">
      <x:c r="A20" s="2"/>
      <x:c r="B20" s="2"/>
      <x:c r="C20" s="2"/>
      <x:c r="D20" s="2"/>
      <x:c r="E20" s="2"/>
      <x:c r="F20" s="2"/>
      <x:c r="G20" s="2"/>
    </x:row>
    <x:row r="21" ht="27" customHeight="1">
      <x:c r="A21" s="2"/>
      <x:c r="B21" s="2" t="str">
        <x:v>A32 unit sum from detail</x:v>
      </x:c>
      <x:c r="C21" s="8" t="n">
        <x:f>SUM('Unit slabs'!F7:F20)</x:f>
        <x:v>749.5141847081719</x:v>
      </x:c>
      <x:c r="D21" s="2"/>
      <x:c r="E21" s="2"/>
      <x:c r="F21" s="2"/>
      <x:c r="G21" s="2"/>
    </x:row>
    <x:row r="22" ht="27" customHeight="1">
      <x:c r="A22" s="2"/>
      <x:c r="B22" s="2" t="str">
        <x:v>Reconciliation (m²)</x:v>
      </x:c>
      <x:c r="C22" s="10" t="n">
        <x:f>C7-D7-E7</x:f>
        <x:v>1.4210854715202004e-13</x:v>
      </x:c>
      <x:c r="D22" s="2" t="str">
        <x:v>Expected 0 within 0.0000001 m²</x:v>
      </x:c>
      <x:c r="E22" s="2"/>
      <x:c r="F22" s="2"/>
      <x:c r="G22" s="2"/>
    </x:row>
    <x:row r="23" ht="27" customHeight="1">
      <x:c r="A23" s="2"/>
      <x:c r="B23" s="2"/>
      <x:c r="C23" s="2"/>
      <x:c r="D23" s="2"/>
      <x:c r="E23" s="2"/>
      <x:c r="F23" s="2"/>
      <x:c r="G23" s="2"/>
    </x:row>
    <x:row r="24" ht="27" customHeight="1">
      <x:c r="A24" s="2"/>
      <x:c r="B24" s="2" t="str">
        <x:v>Count occurrences</x:v>
      </x:c>
      <x:c r="C24" s="2" t="str">
        <x:v>56 slabs + 19 spaces. Type definitions excluded.</x:v>
      </x:c>
      <x:c r="D24" s="2"/>
      <x:c r="E24" s="2"/>
      <x:c r="F24" s="2"/>
      <x:c r="G24" s="2"/>
    </x:row>
    <x:row r="25" ht="27" customHeight="1">
      <x:c r="A25" s="2"/>
      <x:c r="B25" s="2" t="str">
        <x:v>Read-only check</x:v>
      </x:c>
      <x:c r="C25" s="2" t="str">
        <x:v>Both SHA256 values unchanged before / after extraction.</x:v>
      </x:c>
      <x:c r="D25" s="2"/>
      <x:c r="E25" s="2"/>
      <x:c r="F25" s="2"/>
      <x:c r="G25" s="2"/>
    </x:row>
    <x:row r="26" ht="27" customHeight="1">
      <x:c r="A26" s="2"/>
      <x:c r="B26" s="2" t="str">
        <x:v>IFC source records</x:v>
      </x:c>
      <x:c r="C26" s="2" t="str">
        <x:v>Full hashes and filenames are in IFC objects and areas.json.</x:v>
      </x:c>
      <x:c r="D26" s="2"/>
      <x:c r="E26" s="2"/>
      <x:c r="F26" s="2"/>
      <x:c r="G26" s="2"/>
    </x:row>
    <x:row r="27" ht="27" customHeight="1">
      <x:c r="A27" s="2"/>
      <x:c r="B27" s="2"/>
      <x:c r="C27" s="2"/>
      <x:c r="D27" s="2"/>
      <x:c r="E27" s="2"/>
      <x:c r="F27" s="2"/>
      <x:c r="G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31" hidden="0" customWidth="1"/>
    <x:col min="3" max="3" width="15" hidden="0" customWidth="1"/>
    <x:col min="4" max="4" width="27" hidden="0" customWidth="1"/>
    <x:col min="5" max="5" width="42" hidden="0" customWidth="1"/>
    <x:col min="6" max="6" width="17" hidden="0" customWidth="1"/>
    <x:col min="7" max="7" width="9" hidden="0" customWidth="1"/>
    <x:col min="8" max="8" width="85" hidden="0" customWidth="1"/>
    <x:col min="9" max="9" width="46" hidden="0" customWidth="1"/>
    <x:col min="10" max="10" width="16" hidden="0" customWidth="1"/>
    <x:col min="11" max="11" width="31" hidden="0" customWidth="1"/>
    <x:col min="12" max="12" width="6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2" t="str">
        <x:v>IFC object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 t="str">
        <x:v>One occurrence per row. Blank area means missing geometry. Do not sum slab and space classes together.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2" t="str">
        <x:v>Source: 25B library 20261019-v1 (25B-v002) and A32 v011 single floor 05. Full provenance in areas.json.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9" customHeight="1">
      <x:c r="A6" s="7" t="str">
        <x:v>inputfile</x:v>
      </x:c>
      <x:c r="B6" s="7" t="str">
        <x:v>GUID</x:v>
      </x:c>
      <x:c r="C6" s="7" t="str">
        <x:v>class</x:v>
      </x:c>
      <x:c r="D6" s="7" t="str">
        <x:v>storey</x:v>
      </x:c>
      <x:c r="E6" s="7" t="str">
        <x:v>basis</x:v>
      </x:c>
      <x:c r="F6" s="7" t="str">
        <x:v>area</x:v>
      </x:c>
      <x:c r="G6" s="7" t="str">
        <x:v>unit</x:v>
      </x:c>
      <x:c r="H6" s="7" t="str">
        <x:v>limitations</x:v>
      </x:c>
      <x:c r="I6" s="7" t="str">
        <x:v>name</x:v>
      </x:c>
      <x:c r="J6" s="7" t="str">
        <x:v>classification</x:v>
      </x:c>
      <x:c r="K6" s="7" t="str">
        <x:v>type_GUID</x:v>
      </x:c>
      <x:c r="L6" s="7" t="str">
        <x:v>source_sha256</x:v>
      </x:c>
    </x:row>
    <x:row r="7" ht="27" customHeight="1">
      <x:c r="A7" s="12" t="str">
        <x:v>25B.ifc</x:v>
      </x:c>
      <x:c r="B7" s="12" t="str">
        <x:v>0BhRfJ1OLMSxQW9tWel5KJ</x:v>
      </x:c>
      <x:c r="C7" s="12" t="str">
        <x:v>IfcSpace</x:v>
      </x:c>
      <x:c r="D7" s="13" t="str">
        <x:v>기준층 / SL ±0</x:v>
      </x:c>
      <x:c r="E7" s="12" t="str">
        <x:v>SPACE_XY_PROFILE_PROJECTION</x:v>
      </x:c>
      <x:c r="F7" s="14" t="n">
        <x:v>1.6484999999999999</x:v>
      </x:c>
      <x:c r="G7" s="12" t="str">
        <x:v>m2</x:v>
      </x:c>
      <x:c r="H7" s="12" t="str">
        <x:v>Model room profile projection; space name does not establish legal area classification.</x:v>
      </x:c>
      <x:c r="I7" s="12" t="str">
        <x:v>현관</x:v>
      </x:c>
      <x:c r="J7" s="12" t="str">
        <x:v>space</x:v>
      </x:c>
      <x:c r="K7" s="12" t="str"/>
      <x:c r="L7" s="12" t="str">
        <x:v>b1ba21cbb084bfb8ea0a89bae496faeab26b7e86b88f4ce862dc05fcf395d26e</x:v>
      </x:c>
    </x:row>
    <x:row r="8" ht="27" customHeight="1">
      <x:c r="A8" s="12" t="str">
        <x:v>25B.ifc</x:v>
      </x:c>
      <x:c r="B8" s="12" t="str">
        <x:v>0MH95LV5jIwhp0dfmw7PyW</x:v>
      </x:c>
      <x:c r="C8" s="12" t="str">
        <x:v>IfcSpace</x:v>
      </x:c>
      <x:c r="D8" s="13" t="str">
        <x:v>기준층 / SL ±0</x:v>
      </x:c>
      <x:c r="E8" s="12" t="str">
        <x:v>SPACE_XY_PROFILE_PROJECTION</x:v>
      </x:c>
      <x:c r="F8" s="14" t="n">
        <x:v>15.481300000000001</x:v>
      </x:c>
      <x:c r="G8" s="12" t="str">
        <x:v>m2</x:v>
      </x:c>
      <x:c r="H8" s="12" t="str">
        <x:v>Model room profile projection; space name does not establish legal area classification.</x:v>
      </x:c>
      <x:c r="I8" s="12" t="str">
        <x:v>거실·주방</x:v>
      </x:c>
      <x:c r="J8" s="12" t="str">
        <x:v>space</x:v>
      </x:c>
      <x:c r="K8" s="12" t="str"/>
      <x:c r="L8" s="12" t="str">
        <x:v>b1ba21cbb084bfb8ea0a89bae496faeab26b7e86b88f4ce862dc05fcf395d26e</x:v>
      </x:c>
    </x:row>
    <x:row r="9" ht="27" customHeight="1">
      <x:c r="A9" s="12" t="str">
        <x:v>25B.ifc</x:v>
      </x:c>
      <x:c r="B9" s="12" t="str">
        <x:v>0Obsqm_mfJjhfxfwvsk4Kx</x:v>
      </x:c>
      <x:c r="C9" s="12" t="str">
        <x:v>IfcSpace</x:v>
      </x:c>
      <x:c r="D9" s="13" t="str">
        <x:v>기준층 / SL ±0</x:v>
      </x:c>
      <x:c r="E9" s="12" t="str">
        <x:v>SPACE_XY_PROFILE_PROJECTION</x:v>
      </x:c>
      <x:c r="F9" s="14" t="n">
        <x:v>2.6449999999999996</x:v>
      </x:c>
      <x:c r="G9" s="12" t="str">
        <x:v>m2</x:v>
      </x:c>
      <x:c r="H9" s="12" t="str">
        <x:v>Model room profile projection; space name does not establish legal area classification.</x:v>
      </x:c>
      <x:c r="I9" s="12" t="str">
        <x:v>욕실</x:v>
      </x:c>
      <x:c r="J9" s="12" t="str">
        <x:v>space</x:v>
      </x:c>
      <x:c r="K9" s="12" t="str"/>
      <x:c r="L9" s="12" t="str">
        <x:v>b1ba21cbb084bfb8ea0a89bae496faeab26b7e86b88f4ce862dc05fcf395d26e</x:v>
      </x:c>
    </x:row>
    <x:row r="10" ht="27" customHeight="1">
      <x:c r="A10" s="12" t="str">
        <x:v>25B.ifc</x:v>
      </x:c>
      <x:c r="B10" s="12" t="str">
        <x:v>0yc3TelAXSYRCLXv7QgSCq</x:v>
      </x:c>
      <x:c r="C10" s="12" t="str">
        <x:v>IfcSlab</x:v>
      </x:c>
      <x:c r="D10" s="13" t="str">
        <x:v>기준층 / SL ±0</x:v>
      </x:c>
      <x:c r="E10" s="12" t="str">
        <x:v>SLAB_XY_PROFILE_PROJECTION</x:v>
      </x:c>
      <x:c r="F10" s="14" t="n">
        <x:v>2.6449999999999996</x:v>
      </x:c>
      <x:c r="G10" s="12" t="str">
        <x:v>m2</x:v>
      </x:c>
      <x:c r="H10" s="12" t="str">
        <x:v>Single placed slab projection; overlaps remain until storey union. Model boundary, not legal room area.</x:v>
      </x:c>
      <x:c r="I10" s="12" t="str">
        <x:v>S02 욕실 슬래브 200mm / SL-50</x:v>
      </x:c>
      <x:c r="J10" s="12" t="str">
        <x:v>floor</x:v>
      </x:c>
      <x:c r="K10" s="12" t="str"/>
      <x:c r="L10" s="12" t="str">
        <x:v>b1ba21cbb084bfb8ea0a89bae496faeab26b7e86b88f4ce862dc05fcf395d26e</x:v>
      </x:c>
    </x:row>
    <x:row r="11" ht="27" customHeight="1">
      <x:c r="A11" s="12" t="str">
        <x:v>25B.ifc</x:v>
      </x:c>
      <x:c r="B11" s="12" t="str">
        <x:v>1hOTznkPvP7BdKz10H_tDr</x:v>
      </x:c>
      <x:c r="C11" s="12" t="str">
        <x:v>IfcSpace</x:v>
      </x:c>
      <x:c r="D11" s="13" t="str">
        <x:v>기준층 / SL ±0</x:v>
      </x:c>
      <x:c r="E11" s="12" t="str">
        <x:v>SPACE_XY_PROFILE_PROJECTION</x:v>
      </x:c>
      <x:c r="F11" s="14" t="n">
        <x:v>1.0948000000000004</x:v>
      </x:c>
      <x:c r="G11" s="12" t="str">
        <x:v>m2</x:v>
      </x:c>
      <x:c r="H11" s="12" t="str">
        <x:v>Model room profile projection; space name does not establish legal area classification.</x:v>
      </x:c>
      <x:c r="I11" s="12" t="str">
        <x:v>보일러실</x:v>
      </x:c>
      <x:c r="J11" s="12" t="str">
        <x:v>space</x:v>
      </x:c>
      <x:c r="K11" s="12" t="str"/>
      <x:c r="L11" s="12" t="str">
        <x:v>b1ba21cbb084bfb8ea0a89bae496faeab26b7e86b88f4ce862dc05fcf395d26e</x:v>
      </x:c>
    </x:row>
    <x:row r="12" ht="27" customHeight="1">
      <x:c r="A12" s="12" t="str">
        <x:v>25B.ifc</x:v>
      </x:c>
      <x:c r="B12" s="12" t="str">
        <x:v>1vuZRpxDzNMOsmBzaNpzwr</x:v>
      </x:c>
      <x:c r="C12" s="12" t="str">
        <x:v>IfcSlab</x:v>
      </x:c>
      <x:c r="D12" s="13" t="str">
        <x:v>기준층 / SL ±0</x:v>
      </x:c>
      <x:c r="E12" s="12" t="str">
        <x:v>SLAB_XY_PROFILE_PROJECTION</x:v>
      </x:c>
      <x:c r="F12" s="14" t="n">
        <x:v>27.5458</x:v>
      </x:c>
      <x:c r="G12" s="12" t="str">
        <x:v>m2</x:v>
      </x:c>
      <x:c r="H12" s="12" t="str">
        <x:v>Single placed slab projection; overlaps remain until storey union. Model boundary, not legal room area.</x:v>
      </x:c>
      <x:c r="I12" s="12" t="str">
        <x:v>S01 슬래브 200mm / SL±0</x:v>
      </x:c>
      <x:c r="J12" s="12" t="str">
        <x:v>floor</x:v>
      </x:c>
      <x:c r="K12" s="12" t="str"/>
      <x:c r="L12" s="12" t="str">
        <x:v>b1ba21cbb084bfb8ea0a89bae496faeab26b7e86b88f4ce862dc05fcf395d26e</x:v>
      </x:c>
    </x:row>
    <x:row r="13" ht="27" customHeight="1">
      <x:c r="A13" s="12" t="str">
        <x:v>25B.ifc</x:v>
      </x:c>
      <x:c r="B13" s="12" t="str">
        <x:v>2F3m5I4pzVPwNpoV9mt1Xu</x:v>
      </x:c>
      <x:c r="C13" s="12" t="str">
        <x:v>IfcSpace</x:v>
      </x:c>
      <x:c r="D13" s="13" t="str">
        <x:v>기준층 / SL ±0</x:v>
      </x:c>
      <x:c r="E13" s="12" t="str">
        <x:v>SPACE_XY_PROFILE_PROJECTION</x:v>
      </x:c>
      <x:c r="F13" s="14" t="n">
        <x:v>2.8560000000000008</x:v>
      </x:c>
      <x:c r="G13" s="12" t="str">
        <x:v>m2</x:v>
      </x:c>
      <x:c r="H13" s="12" t="str">
        <x:v>Model room profile projection; space name does not establish legal area classification.</x:v>
      </x:c>
      <x:c r="I13" s="12" t="str">
        <x:v>발코니</x:v>
      </x:c>
      <x:c r="J13" s="12" t="str">
        <x:v>space</x:v>
      </x:c>
      <x:c r="K13" s="12" t="str"/>
      <x:c r="L13" s="12" t="str">
        <x:v>b1ba21cbb084bfb8ea0a89bae496faeab26b7e86b88f4ce862dc05fcf395d26e</x:v>
      </x:c>
    </x:row>
    <x:row r="14" ht="27" customHeight="1">
      <x:c r="A14" s="12" t="str">
        <x:v>A32-05.ifc</x:v>
      </x:c>
      <x:c r="B14" s="12" t="str">
        <x:v>02$WP2m0nS08M9cdUrdeHF</x:v>
      </x:c>
      <x:c r="C14" s="12" t="str">
        <x:v>IfcSlab</x:v>
      </x:c>
      <x:c r="D14" s="13" t="str">
        <x:v>05</x:v>
      </x:c>
      <x:c r="E14" s="12" t="str">
        <x:v>SLAB_XY_PROFILE_PROJECTION</x:v>
      </x:c>
      <x:c r="F14" s="14" t="n">
        <x:v>0.000019867890681268805</x:v>
      </x:c>
      <x:c r="G14" s="12" t="str">
        <x:v>m2</x:v>
      </x:c>
      <x:c r="H14" s="12" t="str">
        <x:v>Single placed slab projection; overlaps remain until storey union. Model boundary, not legal room area.</x:v>
      </x:c>
      <x:c r="I14" s="12" t="str">
        <x:v>S-U05 / 25형 슬래브</x:v>
      </x:c>
      <x:c r="J14" s="12" t="str">
        <x:v>floor</x:v>
      </x:c>
      <x:c r="K14" s="12" t="str">
        <x:v>0x_QFXUx9KJBwTWVRyR6IP</x:v>
      </x:c>
      <x:c r="L14" s="12" t="str">
        <x:v>f00eefecaa1b5bac3c4a7b722d84d54ec9e7698c9e696b44d8fa6acd59a6fe6f</x:v>
      </x:c>
    </x:row>
    <x:row r="15" ht="27" customHeight="1">
      <x:c r="A15" s="12" t="str">
        <x:v>A32-05.ifc</x:v>
      </x:c>
      <x:c r="B15" s="12" t="str">
        <x:v>0LwNDO5APTV8fA191xqVrj</x:v>
      </x:c>
      <x:c r="C15" s="12" t="str">
        <x:v>IfcSlab</x:v>
      </x:c>
      <x:c r="D15" s="13" t="str">
        <x:v>05</x:v>
      </x:c>
      <x:c r="E15" s="12" t="str">
        <x:v>SLAB_XY_PROFILE_PROJECTION</x:v>
      </x:c>
      <x:c r="F15" s="14" t="n">
        <x:v>61.215293073505165</x:v>
      </x:c>
      <x:c r="G15" s="12" t="str">
        <x:v>m2</x:v>
      </x:c>
      <x:c r="H15" s="12" t="str">
        <x:v>Single placed slab projection; overlaps remain until storey union. Model boundary, not legal room area.</x:v>
      </x:c>
      <x:c r="I15" s="12" t="str">
        <x:v>S-U14 / 54형 슬래브</x:v>
      </x:c>
      <x:c r="J15" s="12" t="str">
        <x:v>floor</x:v>
      </x:c>
      <x:c r="K15" s="12" t="str">
        <x:v>3th1G3R8vM0RA7W0YMDdPa</x:v>
      </x:c>
      <x:c r="L15" s="12" t="str">
        <x:v>f00eefecaa1b5bac3c4a7b722d84d54ec9e7698c9e696b44d8fa6acd59a6fe6f</x:v>
      </x:c>
    </x:row>
    <x:row r="16" ht="27" customHeight="1">
      <x:c r="A16" s="12" t="str">
        <x:v>A32-05.ifc</x:v>
      </x:c>
      <x:c r="B16" s="12" t="str">
        <x:v>0R_620gMPIRvDhFOxBmaiw</x:v>
      </x:c>
      <x:c r="C16" s="12" t="str">
        <x:v>IfcSlab</x:v>
      </x:c>
      <x:c r="D16" s="13" t="str">
        <x:v>05</x:v>
      </x:c>
      <x:c r="E16" s="12" t="str">
        <x:v>SLAB_XY_PROFILE_PROJECTION</x:v>
      </x:c>
      <x:c r="F16" s="14" t="n">
        <x:v>1.6119999999999988</x:v>
      </x:c>
      <x:c r="G16" s="12" t="str">
        <x:v>m2</x:v>
      </x:c>
      <x:c r="H16" s="12" t="str">
        <x:v>Single placed slab projection; overlaps remain until storey union. Model boundary, not legal room area.</x:v>
      </x:c>
      <x:c r="I16" s="12" t="str">
        <x:v>STAIR-L1 / 기준층 출입참</x:v>
      </x:c>
      <x:c r="J16" s="12" t="str">
        <x:v>landing</x:v>
      </x:c>
      <x:c r="K16" s="12" t="str">
        <x:v>1xh6Lj7B5UceZRFw_rOc51</x:v>
      </x:c>
      <x:c r="L16" s="12" t="str">
        <x:v>f00eefecaa1b5bac3c4a7b722d84d54ec9e7698c9e696b44d8fa6acd59a6fe6f</x:v>
      </x:c>
    </x:row>
    <x:row r="17" ht="27" customHeight="1">
      <x:c r="A17" s="12" t="str">
        <x:v>A32-05.ifc</x:v>
      </x:c>
      <x:c r="B17" s="12" t="str">
        <x:v>0SPeT2vIzSN8MJw$9tJ4nH</x:v>
      </x:c>
      <x:c r="C17" s="12" t="str">
        <x:v>IfcSlab</x:v>
      </x:c>
      <x:c r="D17" s="13" t="str">
        <x:v>05</x:v>
      </x:c>
      <x:c r="E17" s="12" t="str">
        <x:v>SLAB_XY_PROFILE_PROJECTION</x:v>
      </x:c>
      <x:c r="F17" s="14" t="n">
        <x:v>0.00001986789069412965</x:v>
      </x:c>
      <x:c r="G17" s="12" t="str">
        <x:v>m2</x:v>
      </x:c>
      <x:c r="H17" s="12" t="str">
        <x:v>Single placed slab projection; overlaps remain until storey union. Model boundary, not legal room area.</x:v>
      </x:c>
      <x:c r="I17" s="12" t="str">
        <x:v>S-COM / 복도·코어 슬래브</x:v>
      </x:c>
      <x:c r="J17" s="12" t="str">
        <x:v>floor</x:v>
      </x:c>
      <x:c r="K17" s="12" t="str">
        <x:v>3r7SB0g8nVbAbdcE1GpYnO</x:v>
      </x:c>
      <x:c r="L17" s="12" t="str">
        <x:v>f00eefecaa1b5bac3c4a7b722d84d54ec9e7698c9e696b44d8fa6acd59a6fe6f</x:v>
      </x:c>
    </x:row>
    <x:row r="18" ht="27" customHeight="1">
      <x:c r="A18" s="12" t="str">
        <x:v>A32-05.ifc</x:v>
      </x:c>
      <x:c r="B18" s="12" t="str">
        <x:v>0Tp$Foi5vMcBCDUTXNcSIc</x:v>
      </x:c>
      <x:c r="C18" s="12" t="str">
        <x:v>IfcSlab</x:v>
      </x:c>
      <x:c r="D18" s="13" t="str">
        <x:v>05</x:v>
      </x:c>
      <x:c r="E18" s="12" t="str">
        <x:v>SLAB_XY_PROFILE_PROJECTION</x:v>
      </x:c>
      <x:c r="F18" s="14" t="n">
        <x:v>0.000019867890681070156</x:v>
      </x:c>
      <x:c r="G18" s="12" t="str">
        <x:v>m2</x:v>
      </x:c>
      <x:c r="H18" s="12" t="str">
        <x:v>Single placed slab projection; overlaps remain until storey union. Model boundary, not legal room area.</x:v>
      </x:c>
      <x:c r="I18" s="12" t="str">
        <x:v>S-U04 / 25형 슬래브</x:v>
      </x:c>
      <x:c r="J18" s="12" t="str">
        <x:v>floor</x:v>
      </x:c>
      <x:c r="K18" s="12" t="str">
        <x:v>3q6p0mMJvIyPRVe8sC7auj</x:v>
      </x:c>
      <x:c r="L18" s="12" t="str">
        <x:v>f00eefecaa1b5bac3c4a7b722d84d54ec9e7698c9e696b44d8fa6acd59a6fe6f</x:v>
      </x:c>
    </x:row>
    <x:row r="19" ht="27" customHeight="1">
      <x:c r="A19" s="12" t="str">
        <x:v>A32-05.ifc</x:v>
      </x:c>
      <x:c r="B19" s="12" t="str">
        <x:v>0aiPHn2B1RxQWD52mS1ffE</x:v>
      </x:c>
      <x:c r="C19" s="12" t="str">
        <x:v>IfcSlab</x:v>
      </x:c>
      <x:c r="D19" s="13" t="str">
        <x:v>05</x:v>
      </x:c>
      <x:c r="E19" s="12" t="str">
        <x:v>SLAB_XY_PROFILE_PROJECTION</x:v>
      </x:c>
      <x:c r="F19" s="14" t="n">
        <x:v>0.00004577280581740629</x:v>
      </x:c>
      <x:c r="G19" s="12" t="str">
        <x:v>m2</x:v>
      </x:c>
      <x:c r="H19" s="12" t="str">
        <x:v>Single placed slab projection; overlaps remain until storey union. Model boundary, not legal room area.</x:v>
      </x:c>
      <x:c r="I19" s="12" t="str">
        <x:v>S-U07 / 54형 슬래브</x:v>
      </x:c>
      <x:c r="J19" s="12" t="str">
        <x:v>floor</x:v>
      </x:c>
      <x:c r="K19" s="12" t="str">
        <x:v>3qSudM$dDL6wjNDfnBE366</x:v>
      </x:c>
      <x:c r="L19" s="12" t="str">
        <x:v>f00eefecaa1b5bac3c4a7b722d84d54ec9e7698c9e696b44d8fa6acd59a6fe6f</x:v>
      </x:c>
    </x:row>
    <x:row r="20" ht="27" customHeight="1">
      <x:c r="A20" s="12" t="str">
        <x:v>A32-05.ifc</x:v>
      </x:c>
      <x:c r="B20" s="12" t="str">
        <x:v>0pMV4NIYzJMfHmqY8GVA1_</x:v>
      </x:c>
      <x:c r="C20" s="12" t="str">
        <x:v>IfcSpace</x:v>
      </x:c>
      <x:c r="D20" s="13" t="str">
        <x:v>05</x:v>
      </x:c>
      <x:c r="E20" s="12" t="str">
        <x:v>NO_SPACE_GEOMETRY</x:v>
      </x:c>
      <x:c r="F20" s="14"/>
      <x:c r="G20" s="12" t="str">
        <x:v>m2</x:v>
      </x:c>
      <x:c r="H20" s="12" t="str">
        <x:v>Missing space geometry. Blank area is not zero; use separately labelled contained slab union.</x:v>
      </x:c>
      <x:c r="I20" s="12" t="str">
        <x:v>05-U10 / 54형</x:v>
      </x:c>
      <x:c r="J20" s="12" t="str">
        <x:v>space</x:v>
      </x:c>
      <x:c r="K20" s="12" t="str"/>
      <x:c r="L20" s="12" t="str">
        <x:v>f00eefecaa1b5bac3c4a7b722d84d54ec9e7698c9e696b44d8fa6acd59a6fe6f</x:v>
      </x:c>
    </x:row>
    <x:row r="21" ht="27" customHeight="1">
      <x:c r="A21" s="12" t="str">
        <x:v>A32-05.ifc</x:v>
      </x:c>
      <x:c r="B21" s="12" t="str">
        <x:v>0rBYoZ5ALVtBEpmIq2tTy6</x:v>
      </x:c>
      <x:c r="C21" s="12" t="str">
        <x:v>IfcSlab</x:v>
      </x:c>
      <x:c r="D21" s="13" t="str">
        <x:v>05</x:v>
      </x:c>
      <x:c r="E21" s="12" t="str">
        <x:v>SLAB_XY_PROFILE_PROJECTION</x:v>
      </x:c>
      <x:c r="F21" s="14" t="n">
        <x:v>0.00004577281128404818</x:v>
      </x:c>
      <x:c r="G21" s="12" t="str">
        <x:v>m2</x:v>
      </x:c>
      <x:c r="H21" s="12" t="str">
        <x:v>Single placed slab projection; overlaps remain until storey union. Model boundary, not legal room area.</x:v>
      </x:c>
      <x:c r="I21" s="12" t="str">
        <x:v>S-U08 / 57형 슬래브</x:v>
      </x:c>
      <x:c r="J21" s="12" t="str">
        <x:v>floor</x:v>
      </x:c>
      <x:c r="K21" s="12" t="str">
        <x:v>01oVXcPX5HyRnoih4lPzn6</x:v>
      </x:c>
      <x:c r="L21" s="12" t="str">
        <x:v>f00eefecaa1b5bac3c4a7b722d84d54ec9e7698c9e696b44d8fa6acd59a6fe6f</x:v>
      </x:c>
    </x:row>
    <x:row r="22" ht="27" customHeight="1">
      <x:c r="A22" s="12" t="str">
        <x:v>A32-05.ifc</x:v>
      </x:c>
      <x:c r="B22" s="12" t="str">
        <x:v>0s04TJcIzQ3h29jTCLl3Yv</x:v>
      </x:c>
      <x:c r="C22" s="12" t="str">
        <x:v>IfcSlab</x:v>
      </x:c>
      <x:c r="D22" s="13" t="str">
        <x:v>05</x:v>
      </x:c>
      <x:c r="E22" s="12" t="str">
        <x:v>SLAB_XY_PROFILE_PROJECTION</x:v>
      </x:c>
      <x:c r="F22" s="14" t="n">
        <x:v>245.01519578055706</x:v>
      </x:c>
      <x:c r="G22" s="12" t="str">
        <x:v>m2</x:v>
      </x:c>
      <x:c r="H22" s="12" t="str">
        <x:v>Single placed slab projection; overlaps remain until storey union. Model boundary, not legal room area.</x:v>
      </x:c>
      <x:c r="I22" s="12" t="str">
        <x:v>S-COM / 복도·코어 슬래브</x:v>
      </x:c>
      <x:c r="J22" s="12" t="str">
        <x:v>floor</x:v>
      </x:c>
      <x:c r="K22" s="12" t="str">
        <x:v>3kCHKxE5bOvvu_F2lwYCi8</x:v>
      </x:c>
      <x:c r="L22" s="12" t="str">
        <x:v>f00eefecaa1b5bac3c4a7b722d84d54ec9e7698c9e696b44d8fa6acd59a6fe6f</x:v>
      </x:c>
    </x:row>
    <x:row r="23" ht="27" customHeight="1">
      <x:c r="A23" s="12" t="str">
        <x:v>A32-05.ifc</x:v>
      </x:c>
      <x:c r="B23" s="12" t="str">
        <x:v>0toaLSTZfSJubVfclwGIT0</x:v>
      </x:c>
      <x:c r="C23" s="12" t="str">
        <x:v>IfcSlab</x:v>
      </x:c>
      <x:c r="D23" s="13" t="str">
        <x:v>05</x:v>
      </x:c>
      <x:c r="E23" s="12" t="str">
        <x:v>SLAB_XY_PROFILE_PROJECTION</x:v>
      </x:c>
      <x:c r="F23" s="14" t="n">
        <x:v>30.190483399103325</x:v>
      </x:c>
      <x:c r="G23" s="12" t="str">
        <x:v>m2</x:v>
      </x:c>
      <x:c r="H23" s="12" t="str">
        <x:v>Single placed slab projection; overlaps remain until storey union. Model boundary, not legal room area.</x:v>
      </x:c>
      <x:c r="I23" s="12" t="str">
        <x:v>S-U05 / 25형 슬래브</x:v>
      </x:c>
      <x:c r="J23" s="12" t="str">
        <x:v>floor</x:v>
      </x:c>
      <x:c r="K23" s="12" t="str">
        <x:v>3ImnSk5o5PC9oOKzHQu9SQ</x:v>
      </x:c>
      <x:c r="L23" s="12" t="str">
        <x:v>f00eefecaa1b5bac3c4a7b722d84d54ec9e7698c9e696b44d8fa6acd59a6fe6f</x:v>
      </x:c>
    </x:row>
    <x:row r="24" ht="27" customHeight="1">
      <x:c r="A24" s="12" t="str">
        <x:v>A32-05.ifc</x:v>
      </x:c>
      <x:c r="B24" s="12" t="str">
        <x:v>0wBG$obNjLhuq8akswOWFN</x:v>
      </x:c>
      <x:c r="C24" s="12" t="str">
        <x:v>IfcSlab</x:v>
      </x:c>
      <x:c r="D24" s="13" t="str">
        <x:v>05</x:v>
      </x:c>
      <x:c r="E24" s="12" t="str">
        <x:v>SLAB_XY_PROFILE_PROJECTION</x:v>
      </x:c>
      <x:c r="F24" s="14" t="n">
        <x:v>0.000019867890235693473</x:v>
      </x:c>
      <x:c r="G24" s="12" t="str">
        <x:v>m2</x:v>
      </x:c>
      <x:c r="H24" s="12" t="str">
        <x:v>Single placed slab projection; overlaps remain until storey union. Model boundary, not legal room area.</x:v>
      </x:c>
      <x:c r="I24" s="12" t="str">
        <x:v>S-COM / 복도·코어 슬래브</x:v>
      </x:c>
      <x:c r="J24" s="12" t="str">
        <x:v>floor</x:v>
      </x:c>
      <x:c r="K24" s="12" t="str">
        <x:v>28g45LDzDNrhyMlAqvzkZp</x:v>
      </x:c>
      <x:c r="L24" s="12" t="str">
        <x:v>f00eefecaa1b5bac3c4a7b722d84d54ec9e7698c9e696b44d8fa6acd59a6fe6f</x:v>
      </x:c>
    </x:row>
    <x:row r="25" ht="27" customHeight="1">
      <x:c r="A25" s="12" t="str">
        <x:v>A32-05.ifc</x:v>
      </x:c>
      <x:c r="B25" s="12" t="str">
        <x:v>0xU75O1hTRaR7ayPHwdrKy</x:v>
      </x:c>
      <x:c r="C25" s="12" t="str">
        <x:v>IfcSlab</x:v>
      </x:c>
      <x:c r="D25" s="13" t="str">
        <x:v>05</x:v>
      </x:c>
      <x:c r="E25" s="12" t="str">
        <x:v>SLAB_XY_PROFILE_PROJECTION</x:v>
      </x:c>
      <x:c r="F25" s="14" t="n">
        <x:v>93.57435502497258</x:v>
      </x:c>
      <x:c r="G25" s="12" t="str">
        <x:v>m2</x:v>
      </x:c>
      <x:c r="H25" s="12" t="str">
        <x:v>Single placed slab projection; overlaps remain until storey union. Model boundary, not legal room area.</x:v>
      </x:c>
      <x:c r="I25" s="12" t="str">
        <x:v>S-U09 / 84A형 슬래브</x:v>
      </x:c>
      <x:c r="J25" s="12" t="str">
        <x:v>floor</x:v>
      </x:c>
      <x:c r="K25" s="12" t="str">
        <x:v>0vnqtR6hXODOHKK2siSm8F</x:v>
      </x:c>
      <x:c r="L25" s="12" t="str">
        <x:v>f00eefecaa1b5bac3c4a7b722d84d54ec9e7698c9e696b44d8fa6acd59a6fe6f</x:v>
      </x:c>
    </x:row>
    <x:row r="26" ht="27" customHeight="1">
      <x:c r="A26" s="12" t="str">
        <x:v>A32-05.ifc</x:v>
      </x:c>
      <x:c r="B26" s="12" t="str">
        <x:v>10AJFFMtXTGwRC6f8az2br</x:v>
      </x:c>
      <x:c r="C26" s="12" t="str">
        <x:v>IfcSlab</x:v>
      </x:c>
      <x:c r="D26" s="13" t="str">
        <x:v>05</x:v>
      </x:c>
      <x:c r="E26" s="12" t="str">
        <x:v>SLAB_XY_PROFILE_PROJECTION</x:v>
      </x:c>
      <x:c r="F26" s="14" t="n">
        <x:v>0.00029673300595980706</x:v>
      </x:c>
      <x:c r="G26" s="12" t="str">
        <x:v>m2</x:v>
      </x:c>
      <x:c r="H26" s="12" t="str">
        <x:v>Single placed slab projection; overlaps remain until storey union. Model boundary, not legal room area.</x:v>
      </x:c>
      <x:c r="I26" s="12" t="str">
        <x:v>S-U03 / 25형 슬래브</x:v>
      </x:c>
      <x:c r="J26" s="12" t="str">
        <x:v>floor</x:v>
      </x:c>
      <x:c r="K26" s="12" t="str">
        <x:v>17CJumPlrHlg3pJXa0hn5A</x:v>
      </x:c>
      <x:c r="L26" s="12" t="str">
        <x:v>f00eefecaa1b5bac3c4a7b722d84d54ec9e7698c9e696b44d8fa6acd59a6fe6f</x:v>
      </x:c>
    </x:row>
    <x:row r="27" ht="27" customHeight="1">
      <x:c r="A27" s="12" t="str">
        <x:v>A32-05.ifc</x:v>
      </x:c>
      <x:c r="B27" s="12" t="str">
        <x:v>12nq73rYnRIAvcsCq_ngx3</x:v>
      </x:c>
      <x:c r="C27" s="12" t="str">
        <x:v>IfcSlab</x:v>
      </x:c>
      <x:c r="D27" s="13" t="str">
        <x:v>05</x:v>
      </x:c>
      <x:c r="E27" s="12" t="str">
        <x:v>SLAB_XY_PROFILE_PROJECTION</x:v>
      </x:c>
      <x:c r="F27" s="14" t="n">
        <x:v>0.000040284618956161595</x:v>
      </x:c>
      <x:c r="G27" s="12" t="str">
        <x:v>m2</x:v>
      </x:c>
      <x:c r="H27" s="12" t="str">
        <x:v>Single placed slab projection; overlaps remain until storey union. Model boundary, not legal room area.</x:v>
      </x:c>
      <x:c r="I27" s="12" t="str">
        <x:v>S-COM / 복도·코어 슬래브</x:v>
      </x:c>
      <x:c r="J27" s="12" t="str">
        <x:v>floor</x:v>
      </x:c>
      <x:c r="K27" s="12" t="str">
        <x:v>1OwGzYDeHQpw7bu84zs_Iq</x:v>
      </x:c>
      <x:c r="L27" s="12" t="str">
        <x:v>f00eefecaa1b5bac3c4a7b722d84d54ec9e7698c9e696b44d8fa6acd59a6fe6f</x:v>
      </x:c>
    </x:row>
    <x:row r="28" ht="27" customHeight="1">
      <x:c r="A28" s="12" t="str">
        <x:v>A32-05.ifc</x:v>
      </x:c>
      <x:c r="B28" s="12" t="str">
        <x:v>16X2wdLg1SPuii41nPku9c</x:v>
      </x:c>
      <x:c r="C28" s="12" t="str">
        <x:v>IfcSpace</x:v>
      </x:c>
      <x:c r="D28" s="13" t="str">
        <x:v>05</x:v>
      </x:c>
      <x:c r="E28" s="12" t="str">
        <x:v>NO_SPACE_GEOMETRY</x:v>
      </x:c>
      <x:c r="F28" s="14"/>
      <x:c r="G28" s="12" t="str">
        <x:v>m2</x:v>
      </x:c>
      <x:c r="H28" s="12" t="str">
        <x:v>Missing space geometry. Blank area is not zero; use separately labelled contained slab union.</x:v>
      </x:c>
      <x:c r="I28" s="12" t="str">
        <x:v>05-U07 / 54형</x:v>
      </x:c>
      <x:c r="J28" s="12" t="str">
        <x:v>space</x:v>
      </x:c>
      <x:c r="K28" s="12" t="str"/>
      <x:c r="L28" s="12" t="str">
        <x:v>f00eefecaa1b5bac3c4a7b722d84d54ec9e7698c9e696b44d8fa6acd59a6fe6f</x:v>
      </x:c>
    </x:row>
    <x:row r="29" ht="27" customHeight="1">
      <x:c r="A29" s="12" t="str">
        <x:v>A32-05.ifc</x:v>
      </x:c>
      <x:c r="B29" s="12" t="str">
        <x:v>18n917r_1ILvtgBireEkd3</x:v>
      </x:c>
      <x:c r="C29" s="12" t="str">
        <x:v>IfcSlab</x:v>
      </x:c>
      <x:c r="D29" s="13" t="str">
        <x:v>05</x:v>
      </x:c>
      <x:c r="E29" s="12" t="str">
        <x:v>SLAB_XY_PROFILE_PROJECTION</x:v>
      </x:c>
      <x:c r="F29" s="14" t="n">
        <x:v>4.200000000000001</x:v>
      </x:c>
      <x:c r="G29" s="12" t="str">
        <x:v>m2</x:v>
      </x:c>
      <x:c r="H29" s="12" t="str">
        <x:v>Single placed slab projection; overlaps remain until storey union. Model boundary, not legal room area.</x:v>
      </x:c>
      <x:c r="I29" s="12" t="str">
        <x:v>STAIR-L2 / UP 중간참</x:v>
      </x:c>
      <x:c r="J29" s="12" t="str">
        <x:v>landing</x:v>
      </x:c>
      <x:c r="K29" s="12" t="str">
        <x:v>226zga0ePPj9Z1iy7JHjqk</x:v>
      </x:c>
      <x:c r="L29" s="12" t="str">
        <x:v>f00eefecaa1b5bac3c4a7b722d84d54ec9e7698c9e696b44d8fa6acd59a6fe6f</x:v>
      </x:c>
    </x:row>
    <x:row r="30" ht="27" customHeight="1">
      <x:c r="A30" s="12" t="str">
        <x:v>A32-05.ifc</x:v>
      </x:c>
      <x:c r="B30" s="12" t="str">
        <x:v>19iD1OxwvGT93HRFx_aXOR</x:v>
      </x:c>
      <x:c r="C30" s="12" t="str">
        <x:v>IfcSpace</x:v>
      </x:c>
      <x:c r="D30" s="13" t="str">
        <x:v>05</x:v>
      </x:c>
      <x:c r="E30" s="12" t="str">
        <x:v>NO_SPACE_GEOMETRY</x:v>
      </x:c>
      <x:c r="F30" s="14"/>
      <x:c r="G30" s="12" t="str">
        <x:v>m2</x:v>
      </x:c>
      <x:c r="H30" s="12" t="str">
        <x:v>Missing space geometry. Blank area is not zero; use separately labelled contained slab union.</x:v>
      </x:c>
      <x:c r="I30" s="12" t="str">
        <x:v>05-U11 / 25형</x:v>
      </x:c>
      <x:c r="J30" s="12" t="str">
        <x:v>space</x:v>
      </x:c>
      <x:c r="K30" s="12" t="str"/>
      <x:c r="L30" s="12" t="str">
        <x:v>f00eefecaa1b5bac3c4a7b722d84d54ec9e7698c9e696b44d8fa6acd59a6fe6f</x:v>
      </x:c>
    </x:row>
    <x:row r="31" ht="27" customHeight="1">
      <x:c r="A31" s="12" t="str">
        <x:v>A32-05.ifc</x:v>
      </x:c>
      <x:c r="B31" s="12" t="str">
        <x:v>1Ywx1baEXNh8GHC22k_iFO</x:v>
      </x:c>
      <x:c r="C31" s="12" t="str">
        <x:v>IfcSpace</x:v>
      </x:c>
      <x:c r="D31" s="13" t="str">
        <x:v>05</x:v>
      </x:c>
      <x:c r="E31" s="12" t="str">
        <x:v>NO_SPACE_GEOMETRY</x:v>
      </x:c>
      <x:c r="F31" s="14"/>
      <x:c r="G31" s="12" t="str">
        <x:v>m2</x:v>
      </x:c>
      <x:c r="H31" s="12" t="str">
        <x:v>Missing space geometry. Blank area is not zero; use separately labelled contained slab union.</x:v>
      </x:c>
      <x:c r="I31" s="12" t="str">
        <x:v>05-U02 / 25형</x:v>
      </x:c>
      <x:c r="J31" s="12" t="str">
        <x:v>space</x:v>
      </x:c>
      <x:c r="K31" s="12" t="str"/>
      <x:c r="L31" s="12" t="str">
        <x:v>f00eefecaa1b5bac3c4a7b722d84d54ec9e7698c9e696b44d8fa6acd59a6fe6f</x:v>
      </x:c>
    </x:row>
    <x:row r="32" ht="27" customHeight="1">
      <x:c r="A32" s="12" t="str">
        <x:v>A32-05.ifc</x:v>
      </x:c>
      <x:c r="B32" s="12" t="str">
        <x:v>1aZpFfEePP1wsYE0jvHQko</x:v>
      </x:c>
      <x:c r="C32" s="12" t="str">
        <x:v>IfcSlab</x:v>
      </x:c>
      <x:c r="D32" s="13" t="str">
        <x:v>05</x:v>
      </x:c>
      <x:c r="E32" s="12" t="str">
        <x:v>SLAB_XY_PROFILE_PROJECTION</x:v>
      </x:c>
      <x:c r="F32" s="14" t="n">
        <x:v>0.0002757413147920212</x:v>
      </x:c>
      <x:c r="G32" s="12" t="str">
        <x:v>m2</x:v>
      </x:c>
      <x:c r="H32" s="12" t="str">
        <x:v>Single placed slab projection; overlaps remain until storey union. Model boundary, not legal room area.</x:v>
      </x:c>
      <x:c r="I32" s="12" t="str">
        <x:v>S-U08 / 57형 슬래브</x:v>
      </x:c>
      <x:c r="J32" s="12" t="str">
        <x:v>floor</x:v>
      </x:c>
      <x:c r="K32" s="12" t="str">
        <x:v>0b1X4GtTDKTO7RUZ9$b74H</x:v>
      </x:c>
      <x:c r="L32" s="12" t="str">
        <x:v>f00eefecaa1b5bac3c4a7b722d84d54ec9e7698c9e696b44d8fa6acd59a6fe6f</x:v>
      </x:c>
    </x:row>
    <x:row r="33" ht="27" customHeight="1">
      <x:c r="A33" s="12" t="str">
        <x:v>A32-05.ifc</x:v>
      </x:c>
      <x:c r="B33" s="12" t="str">
        <x:v>1rH080JLvORvxLG$ZUIFJt</x:v>
      </x:c>
      <x:c r="C33" s="12" t="str">
        <x:v>IfcSlab</x:v>
      </x:c>
      <x:c r="D33" s="13" t="str">
        <x:v>05</x:v>
      </x:c>
      <x:c r="E33" s="12" t="str">
        <x:v>SLAB_XY_PROFILE_PROJECTION</x:v>
      </x:c>
      <x:c r="F33" s="14" t="n">
        <x:v>0.00029673300595980706</x:v>
      </x:c>
      <x:c r="G33" s="12" t="str">
        <x:v>m2</x:v>
      </x:c>
      <x:c r="H33" s="12" t="str">
        <x:v>Single placed slab projection; overlaps remain until storey union. Model boundary, not legal room area.</x:v>
      </x:c>
      <x:c r="I33" s="12" t="str">
        <x:v>S-U05 / 25형 슬래브</x:v>
      </x:c>
      <x:c r="J33" s="12" t="str">
        <x:v>floor</x:v>
      </x:c>
      <x:c r="K33" s="12" t="str">
        <x:v>1K1_D$hPzMCBOpMUqVsi0J</x:v>
      </x:c>
      <x:c r="L33" s="12" t="str">
        <x:v>f00eefecaa1b5bac3c4a7b722d84d54ec9e7698c9e696b44d8fa6acd59a6fe6f</x:v>
      </x:c>
    </x:row>
    <x:row r="34" ht="27" customHeight="1">
      <x:c r="A34" s="12" t="str">
        <x:v>A32-05.ifc</x:v>
      </x:c>
      <x:c r="B34" s="12" t="str">
        <x:v>1rHiIkwRzH1gYARvJXd8gk</x:v>
      </x:c>
      <x:c r="C34" s="12" t="str">
        <x:v>IfcSlab</x:v>
      </x:c>
      <x:c r="D34" s="13" t="str">
        <x:v>05</x:v>
      </x:c>
      <x:c r="E34" s="12" t="str">
        <x:v>SLAB_XY_PROFILE_PROJECTION</x:v>
      </x:c>
      <x:c r="F34" s="14" t="n">
        <x:v>61.21529307348785</x:v>
      </x:c>
      <x:c r="G34" s="12" t="str">
        <x:v>m2</x:v>
      </x:c>
      <x:c r="H34" s="12" t="str">
        <x:v>Single placed slab projection; overlaps remain until storey union. Model boundary, not legal room area.</x:v>
      </x:c>
      <x:c r="I34" s="12" t="str">
        <x:v>S-U07 / 54형 슬래브</x:v>
      </x:c>
      <x:c r="J34" s="12" t="str">
        <x:v>floor</x:v>
      </x:c>
      <x:c r="K34" s="12" t="str">
        <x:v>0SF92jC4HU$AHVccEZphg5</x:v>
      </x:c>
      <x:c r="L34" s="12" t="str">
        <x:v>f00eefecaa1b5bac3c4a7b722d84d54ec9e7698c9e696b44d8fa6acd59a6fe6f</x:v>
      </x:c>
    </x:row>
    <x:row r="35" ht="27" customHeight="1">
      <x:c r="A35" s="12" t="str">
        <x:v>A32-05.ifc</x:v>
      </x:c>
      <x:c r="B35" s="12" t="str">
        <x:v>1scjKtwr1K0uzs_Pb2sfWw</x:v>
      </x:c>
      <x:c r="C35" s="12" t="str">
        <x:v>IfcSlab</x:v>
      </x:c>
      <x:c r="D35" s="13" t="str">
        <x:v>05</x:v>
      </x:c>
      <x:c r="E35" s="12" t="str">
        <x:v>SLAB_XY_PROFILE_PROJECTION</x:v>
      </x:c>
      <x:c r="F35" s="14" t="n">
        <x:v>0.000049811135425279424</x:v>
      </x:c>
      <x:c r="G35" s="12" t="str">
        <x:v>m2</x:v>
      </x:c>
      <x:c r="H35" s="12" t="str">
        <x:v>Single placed slab projection; overlaps remain until storey union. Model boundary, not legal room area.</x:v>
      </x:c>
      <x:c r="I35" s="12" t="str">
        <x:v>S-COM / 복도·코어 슬래브</x:v>
      </x:c>
      <x:c r="J35" s="12" t="str">
        <x:v>floor</x:v>
      </x:c>
      <x:c r="K35" s="12" t="str">
        <x:v>13Ab16IqnGZhWlbMTS_Ox1</x:v>
      </x:c>
      <x:c r="L35" s="12" t="str">
        <x:v>f00eefecaa1b5bac3c4a7b722d84d54ec9e7698c9e696b44d8fa6acd59a6fe6f</x:v>
      </x:c>
    </x:row>
    <x:row r="36" ht="27" customHeight="1">
      <x:c r="A36" s="12" t="str">
        <x:v>A32-05.ifc</x:v>
      </x:c>
      <x:c r="B36" s="12" t="str">
        <x:v>1tsyBJ2hrM_Qi6uDU7Q9sd</x:v>
      </x:c>
      <x:c r="C36" s="12" t="str">
        <x:v>IfcSpace</x:v>
      </x:c>
      <x:c r="D36" s="13" t="str">
        <x:v>05</x:v>
      </x:c>
      <x:c r="E36" s="12" t="str">
        <x:v>NO_SPACE_GEOMETRY</x:v>
      </x:c>
      <x:c r="F36" s="14"/>
      <x:c r="G36" s="12" t="str">
        <x:v>m2</x:v>
      </x:c>
      <x:c r="H36" s="12" t="str">
        <x:v>Missing space geometry. Blank area is not zero; use separately labelled contained slab union.</x:v>
      </x:c>
      <x:c r="I36" s="12" t="str">
        <x:v>05-U14 / 54형</x:v>
      </x:c>
      <x:c r="J36" s="12" t="str">
        <x:v>space</x:v>
      </x:c>
      <x:c r="K36" s="12" t="str"/>
      <x:c r="L36" s="12" t="str">
        <x:v>f00eefecaa1b5bac3c4a7b722d84d54ec9e7698c9e696b44d8fa6acd59a6fe6f</x:v>
      </x:c>
    </x:row>
    <x:row r="37" ht="27" customHeight="1">
      <x:c r="A37" s="12" t="str">
        <x:v>A32-05.ifc</x:v>
      </x:c>
      <x:c r="B37" s="12" t="str">
        <x:v>1ux_eyKEnS3hrZfushH9nU</x:v>
      </x:c>
      <x:c r="C37" s="12" t="str">
        <x:v>IfcSlab</x:v>
      </x:c>
      <x:c r="D37" s="13" t="str">
        <x:v>05</x:v>
      </x:c>
      <x:c r="E37" s="12" t="str">
        <x:v>SLAB_XY_PROFILE_PROJECTION</x:v>
      </x:c>
      <x:c r="F37" s="14" t="n">
        <x:v>0.00004028461707861198</x:v>
      </x:c>
      <x:c r="G37" s="12" t="str">
        <x:v>m2</x:v>
      </x:c>
      <x:c r="H37" s="12" t="str">
        <x:v>Single placed slab projection; overlaps remain until storey union. Model boundary, not legal room area.</x:v>
      </x:c>
      <x:c r="I37" s="12" t="str">
        <x:v>S-U10 / 54형 슬래브</x:v>
      </x:c>
      <x:c r="J37" s="12" t="str">
        <x:v>floor</x:v>
      </x:c>
      <x:c r="K37" s="12" t="str">
        <x:v>1h8NmVFLzVGx4nT8HZESr2</x:v>
      </x:c>
      <x:c r="L37" s="12" t="str">
        <x:v>f00eefecaa1b5bac3c4a7b722d84d54ec9e7698c9e696b44d8fa6acd59a6fe6f</x:v>
      </x:c>
    </x:row>
    <x:row r="38" ht="27" customHeight="1">
      <x:c r="A38" s="12" t="str">
        <x:v>A32-05.ifc</x:v>
      </x:c>
      <x:c r="B38" s="12" t="str">
        <x:v>1wKwOfDmjU6eqiavDbnSHO</x:v>
      </x:c>
      <x:c r="C38" s="12" t="str">
        <x:v>IfcSlab</x:v>
      </x:c>
      <x:c r="D38" s="13" t="str">
        <x:v>05</x:v>
      </x:c>
      <x:c r="E38" s="12" t="str">
        <x:v>SLAB_XY_PROFILE_PROJECTION</x:v>
      </x:c>
      <x:c r="F38" s="14" t="n">
        <x:v>61.215262982355554</x:v>
      </x:c>
      <x:c r="G38" s="12" t="str">
        <x:v>m2</x:v>
      </x:c>
      <x:c r="H38" s="12" t="str">
        <x:v>Single placed slab projection; overlaps remain until storey union. Model boundary, not legal room area.</x:v>
      </x:c>
      <x:c r="I38" s="12" t="str">
        <x:v>S-U10 / 54형 슬래브</x:v>
      </x:c>
      <x:c r="J38" s="12" t="str">
        <x:v>floor</x:v>
      </x:c>
      <x:c r="K38" s="12" t="str">
        <x:v>1zfPJNrInIZhCrp2aocFF3</x:v>
      </x:c>
      <x:c r="L38" s="12" t="str">
        <x:v>f00eefecaa1b5bac3c4a7b722d84d54ec9e7698c9e696b44d8fa6acd59a6fe6f</x:v>
      </x:c>
    </x:row>
    <x:row r="39" ht="27" customHeight="1">
      <x:c r="A39" s="12" t="str">
        <x:v>A32-05.ifc</x:v>
      </x:c>
      <x:c r="B39" s="12" t="str">
        <x:v>1wOwP2Qa1Jaf22c0zVrKW7</x:v>
      </x:c>
      <x:c r="C39" s="12" t="str">
        <x:v>IfcSlab</x:v>
      </x:c>
      <x:c r="D39" s="13" t="str">
        <x:v>05</x:v>
      </x:c>
      <x:c r="E39" s="12" t="str">
        <x:v>SLAB_XY_PROFILE_PROJECTION</x:v>
      </x:c>
      <x:c r="F39" s="14" t="n">
        <x:v>61.21526298237302</x:v>
      </x:c>
      <x:c r="G39" s="12" t="str">
        <x:v>m2</x:v>
      </x:c>
      <x:c r="H39" s="12" t="str">
        <x:v>Single placed slab projection; overlaps remain until storey union. Model boundary, not legal room area.</x:v>
      </x:c>
      <x:c r="I39" s="12" t="str">
        <x:v>S-U06 / 54형 슬래브</x:v>
      </x:c>
      <x:c r="J39" s="12" t="str">
        <x:v>floor</x:v>
      </x:c>
      <x:c r="K39" s="12" t="str">
        <x:v>1PxpknAV5L$QDsyvNBIuuL</x:v>
      </x:c>
      <x:c r="L39" s="12" t="str">
        <x:v>f00eefecaa1b5bac3c4a7b722d84d54ec9e7698c9e696b44d8fa6acd59a6fe6f</x:v>
      </x:c>
    </x:row>
    <x:row r="40" ht="27" customHeight="1">
      <x:c r="A40" s="12" t="str">
        <x:v>A32-05.ifc</x:v>
      </x:c>
      <x:c r="B40" s="12" t="str">
        <x:v>20pVOIglbJ3OzUnpNPOY4E</x:v>
      </x:c>
      <x:c r="C40" s="12" t="str">
        <x:v>IfcSlab</x:v>
      </x:c>
      <x:c r="D40" s="13" t="str">
        <x:v>05</x:v>
      </x:c>
      <x:c r="E40" s="12" t="str">
        <x:v>SLAB_XY_PROFILE_PROJECTION</x:v>
      </x:c>
      <x:c r="F40" s="14" t="n">
        <x:v>0.00012879786053034186</x:v>
      </x:c>
      <x:c r="G40" s="12" t="str">
        <x:v>m2</x:v>
      </x:c>
      <x:c r="H40" s="12" t="str">
        <x:v>Single placed slab projection; overlaps remain until storey union. Model boundary, not legal room area.</x:v>
      </x:c>
      <x:c r="I40" s="12" t="str">
        <x:v>S-COM / 복도·코어 슬래브</x:v>
      </x:c>
      <x:c r="J40" s="12" t="str">
        <x:v>floor</x:v>
      </x:c>
      <x:c r="K40" s="12" t="str">
        <x:v>2BSSOe3nXSW8P9JBa3nCsB</x:v>
      </x:c>
      <x:c r="L40" s="12" t="str">
        <x:v>f00eefecaa1b5bac3c4a7b722d84d54ec9e7698c9e696b44d8fa6acd59a6fe6f</x:v>
      </x:c>
    </x:row>
    <x:row r="41" ht="27" customHeight="1">
      <x:c r="A41" s="12" t="str">
        <x:v>A32-05.ifc</x:v>
      </x:c>
      <x:c r="B41" s="12" t="str">
        <x:v>265RdhxebIXg2dCmBvEHdl</x:v>
      </x:c>
      <x:c r="C41" s="12" t="str">
        <x:v>IfcSlab</x:v>
      </x:c>
      <x:c r="D41" s="13" t="str">
        <x:v>05</x:v>
      </x:c>
      <x:c r="E41" s="12" t="str">
        <x:v>SLAB_XY_PROFILE_PROJECTION</x:v>
      </x:c>
      <x:c r="F41" s="14" t="n">
        <x:v>0.0002611537063483738</x:v>
      </x:c>
      <x:c r="G41" s="12" t="str">
        <x:v>m2</x:v>
      </x:c>
      <x:c r="H41" s="12" t="str">
        <x:v>Single placed slab projection; overlaps remain until storey union. Model boundary, not legal room area.</x:v>
      </x:c>
      <x:c r="I41" s="12" t="str">
        <x:v>S-U07 / 54형 슬래브</x:v>
      </x:c>
      <x:c r="J41" s="12" t="str">
        <x:v>floor</x:v>
      </x:c>
      <x:c r="K41" s="12" t="str">
        <x:v>1lCSkOmv1KE80KwU$cOrme</x:v>
      </x:c>
      <x:c r="L41" s="12" t="str">
        <x:v>f00eefecaa1b5bac3c4a7b722d84d54ec9e7698c9e696b44d8fa6acd59a6fe6f</x:v>
      </x:c>
    </x:row>
    <x:row r="42" ht="27" customHeight="1">
      <x:c r="A42" s="12" t="str">
        <x:v>A32-05.ifc</x:v>
      </x:c>
      <x:c r="B42" s="12" t="str">
        <x:v>2Aqr3M5jXJUR0dsY568XA0</x:v>
      </x:c>
      <x:c r="C42" s="12" t="str">
        <x:v>IfcSpace</x:v>
      </x:c>
      <x:c r="D42" s="13" t="str">
        <x:v>05</x:v>
      </x:c>
      <x:c r="E42" s="12" t="str">
        <x:v>NO_SPACE_GEOMETRY</x:v>
      </x:c>
      <x:c r="F42" s="14"/>
      <x:c r="G42" s="12" t="str">
        <x:v>m2</x:v>
      </x:c>
      <x:c r="H42" s="12" t="str">
        <x:v>Missing space geometry. Blank area is not zero; use separately labelled contained slab union.</x:v>
      </x:c>
      <x:c r="I42" s="12" t="str">
        <x:v>05-U05 / 25형</x:v>
      </x:c>
      <x:c r="J42" s="12" t="str">
        <x:v>space</x:v>
      </x:c>
      <x:c r="K42" s="12" t="str"/>
      <x:c r="L42" s="12" t="str">
        <x:v>f00eefecaa1b5bac3c4a7b722d84d54ec9e7698c9e696b44d8fa6acd59a6fe6f</x:v>
      </x:c>
    </x:row>
    <x:row r="43" ht="27" customHeight="1">
      <x:c r="A43" s="12" t="str">
        <x:v>A32-05.ifc</x:v>
      </x:c>
      <x:c r="B43" s="12" t="str">
        <x:v>2GqQh41UTSlPV6_lqpFw46</x:v>
      </x:c>
      <x:c r="C43" s="12" t="str">
        <x:v>IfcSlab</x:v>
      </x:c>
      <x:c r="D43" s="13" t="str">
        <x:v>05</x:v>
      </x:c>
      <x:c r="E43" s="12" t="str">
        <x:v>SLAB_XY_PROFILE_PROJECTION</x:v>
      </x:c>
      <x:c r="F43" s="14" t="n">
        <x:v>30.19048270247451</x:v>
      </x:c>
      <x:c r="G43" s="12" t="str">
        <x:v>m2</x:v>
      </x:c>
      <x:c r="H43" s="12" t="str">
        <x:v>Single placed slab projection; overlaps remain until storey union. Model boundary, not legal room area.</x:v>
      </x:c>
      <x:c r="I43" s="12" t="str">
        <x:v>S-U04 / 25형 슬래브</x:v>
      </x:c>
      <x:c r="J43" s="12" t="str">
        <x:v>floor</x:v>
      </x:c>
      <x:c r="K43" s="12" t="str">
        <x:v>1ngKlJ_0TRg9lcTY4aifj$</x:v>
      </x:c>
      <x:c r="L43" s="12" t="str">
        <x:v>f00eefecaa1b5bac3c4a7b722d84d54ec9e7698c9e696b44d8fa6acd59a6fe6f</x:v>
      </x:c>
    </x:row>
    <x:row r="44" ht="27" customHeight="1">
      <x:c r="A44" s="12" t="str">
        <x:v>A32-05.ifc</x:v>
      </x:c>
      <x:c r="B44" s="12" t="str">
        <x:v>2Jwt$p$GnUufCNzzdzozm7</x:v>
      </x:c>
      <x:c r="C44" s="12" t="str">
        <x:v>IfcSlab</x:v>
      </x:c>
      <x:c r="D44" s="13" t="str">
        <x:v>05</x:v>
      </x:c>
      <x:c r="E44" s="12" t="str">
        <x:v>SLAB_XY_PROFILE_PROJECTION</x:v>
      </x:c>
      <x:c r="F44" s="14" t="n">
        <x:v>0.00001986789069412963</x:v>
      </x:c>
      <x:c r="G44" s="12" t="str">
        <x:v>m2</x:v>
      </x:c>
      <x:c r="H44" s="12" t="str">
        <x:v>Single placed slab projection; overlaps remain until storey union. Model boundary, not legal room area.</x:v>
      </x:c>
      <x:c r="I44" s="12" t="str">
        <x:v>S-COM / 복도·코어 슬래브</x:v>
      </x:c>
      <x:c r="J44" s="12" t="str">
        <x:v>floor</x:v>
      </x:c>
      <x:c r="K44" s="12" t="str">
        <x:v>21xc6IcYvSkvu9rorCePQH</x:v>
      </x:c>
      <x:c r="L44" s="12" t="str">
        <x:v>f00eefecaa1b5bac3c4a7b722d84d54ec9e7698c9e696b44d8fa6acd59a6fe6f</x:v>
      </x:c>
    </x:row>
    <x:row r="45" ht="27" customHeight="1">
      <x:c r="A45" s="12" t="str">
        <x:v>A32-05.ifc</x:v>
      </x:c>
      <x:c r="B45" s="12" t="str">
        <x:v>2M0Go7IinNRwzyoVAwmC6x</x:v>
      </x:c>
      <x:c r="C45" s="12" t="str">
        <x:v>IfcSlab</x:v>
      </x:c>
      <x:c r="D45" s="13" t="str">
        <x:v>05</x:v>
      </x:c>
      <x:c r="E45" s="12" t="str">
        <x:v>SLAB_XY_PROFILE_PROJECTION</x:v>
      </x:c>
      <x:c r="F45" s="14" t="n">
        <x:v>0.00001986789068126881</x:v>
      </x:c>
      <x:c r="G45" s="12" t="str">
        <x:v>m2</x:v>
      </x:c>
      <x:c r="H45" s="12" t="str">
        <x:v>Single placed slab projection; overlaps remain until storey union. Model boundary, not legal room area.</x:v>
      </x:c>
      <x:c r="I45" s="12" t="str">
        <x:v>S-U02 / 25형 슬래브</x:v>
      </x:c>
      <x:c r="J45" s="12" t="str">
        <x:v>floor</x:v>
      </x:c>
      <x:c r="K45" s="12" t="str">
        <x:v>3EWOxS89LIBAXRT5GdA44t</x:v>
      </x:c>
      <x:c r="L45" s="12" t="str">
        <x:v>f00eefecaa1b5bac3c4a7b722d84d54ec9e7698c9e696b44d8fa6acd59a6fe6f</x:v>
      </x:c>
    </x:row>
    <x:row r="46" ht="27" customHeight="1">
      <x:c r="A46" s="12" t="str">
        <x:v>A32-05.ifc</x:v>
      </x:c>
      <x:c r="B46" s="12" t="str">
        <x:v>2VAWnPcWbLieQkBx8$yV_G</x:v>
      </x:c>
      <x:c r="C46" s="12" t="str">
        <x:v>IfcSlab</x:v>
      </x:c>
      <x:c r="D46" s="13" t="str">
        <x:v>05</x:v>
      </x:c>
      <x:c r="E46" s="12" t="str">
        <x:v>SLAB_XY_PROFILE_PROJECTION</x:v>
      </x:c>
      <x:c r="F46" s="14" t="n">
        <x:v>0.00017457064892667518</x:v>
      </x:c>
      <x:c r="G46" s="12" t="str">
        <x:v>m2</x:v>
      </x:c>
      <x:c r="H46" s="12" t="str">
        <x:v>Single placed slab projection; overlaps remain until storey union. Model boundary, not legal room area.</x:v>
      </x:c>
      <x:c r="I46" s="12" t="str">
        <x:v>S-U11 / 25형 슬래브</x:v>
      </x:c>
      <x:c r="J46" s="12" t="str">
        <x:v>floor</x:v>
      </x:c>
      <x:c r="K46" s="12" t="str">
        <x:v>29_nsdCujIFxsHHnTVJmj$</x:v>
      </x:c>
      <x:c r="L46" s="12" t="str">
        <x:v>f00eefecaa1b5bac3c4a7b722d84d54ec9e7698c9e696b44d8fa6acd59a6fe6f</x:v>
      </x:c>
    </x:row>
    <x:row r="47" ht="27" customHeight="1">
      <x:c r="A47" s="12" t="str">
        <x:v>A32-05.ifc</x:v>
      </x:c>
      <x:c r="B47" s="12" t="str">
        <x:v>2W5_vdiIbTbf7nhBvuhxyB</x:v>
      </x:c>
      <x:c r="C47" s="12" t="str">
        <x:v>IfcSlab</x:v>
      </x:c>
      <x:c r="D47" s="13" t="str">
        <x:v>05</x:v>
      </x:c>
      <x:c r="E47" s="12" t="str">
        <x:v>SLAB_XY_PROFILE_PROJECTION</x:v>
      </x:c>
      <x:c r="F47" s="14" t="n">
        <x:v>0.0003577635159282603</x:v>
      </x:c>
      <x:c r="G47" s="12" t="str">
        <x:v>m2</x:v>
      </x:c>
      <x:c r="H47" s="12" t="str">
        <x:v>Single placed slab projection; overlaps remain until storey union. Model boundary, not legal room area.</x:v>
      </x:c>
      <x:c r="I47" s="12" t="str">
        <x:v>S-U01 / 84B형 슬래브</x:v>
      </x:c>
      <x:c r="J47" s="12" t="str">
        <x:v>floor</x:v>
      </x:c>
      <x:c r="K47" s="12" t="str">
        <x:v>34_6sdOmzIzQzQFoX$7Wyy</x:v>
      </x:c>
      <x:c r="L47" s="12" t="str">
        <x:v>f00eefecaa1b5bac3c4a7b722d84d54ec9e7698c9e696b44d8fa6acd59a6fe6f</x:v>
      </x:c>
    </x:row>
    <x:row r="48" ht="27" customHeight="1">
      <x:c r="A48" s="12" t="str">
        <x:v>A32-05.ifc</x:v>
      </x:c>
      <x:c r="B48" s="12" t="str">
        <x:v>2X6lqUJDHOjx2Jv7pny3j4</x:v>
      </x:c>
      <x:c r="C48" s="12" t="str">
        <x:v>IfcSlab</x:v>
      </x:c>
      <x:c r="D48" s="13" t="str">
        <x:v>05</x:v>
      </x:c>
      <x:c r="E48" s="12" t="str">
        <x:v>SLAB_XY_PROFILE_PROJECTION</x:v>
      </x:c>
      <x:c r="F48" s="14" t="n">
        <x:v>0.0002967330098709159</x:v>
      </x:c>
      <x:c r="G48" s="12" t="str">
        <x:v>m2</x:v>
      </x:c>
      <x:c r="H48" s="12" t="str">
        <x:v>Single placed slab projection; overlaps remain until storey union. Model boundary, not legal room area.</x:v>
      </x:c>
      <x:c r="I48" s="12" t="str">
        <x:v>S-U06 / 54형 슬래브</x:v>
      </x:c>
      <x:c r="J48" s="12" t="str">
        <x:v>floor</x:v>
      </x:c>
      <x:c r="K48" s="12" t="str">
        <x:v>3TBvIqPcbTKOIQN6VqVaX6</x:v>
      </x:c>
      <x:c r="L48" s="12" t="str">
        <x:v>f00eefecaa1b5bac3c4a7b722d84d54ec9e7698c9e696b44d8fa6acd59a6fe6f</x:v>
      </x:c>
    </x:row>
    <x:row r="49" ht="27" customHeight="1">
      <x:c r="A49" s="12" t="str">
        <x:v>A32-05.ifc</x:v>
      </x:c>
      <x:c r="B49" s="12" t="str">
        <x:v>2Y3qtIl8bNCg73Sdo_cpsy</x:v>
      </x:c>
      <x:c r="C49" s="12" t="str">
        <x:v>IfcSlab</x:v>
      </x:c>
      <x:c r="D49" s="13" t="str">
        <x:v>05</x:v>
      </x:c>
      <x:c r="E49" s="12" t="str">
        <x:v>SLAB_XY_PROFILE_PROJECTION</x:v>
      </x:c>
      <x:c r="F49" s="14" t="n">
        <x:v>64.63467848587392</x:v>
      </x:c>
      <x:c r="G49" s="12" t="str">
        <x:v>m2</x:v>
      </x:c>
      <x:c r="H49" s="12" t="str">
        <x:v>Single placed slab projection; overlaps remain until storey union. Model boundary, not legal room area.</x:v>
      </x:c>
      <x:c r="I49" s="12" t="str">
        <x:v>S-U08 / 57형 슬래브</x:v>
      </x:c>
      <x:c r="J49" s="12" t="str">
        <x:v>floor</x:v>
      </x:c>
      <x:c r="K49" s="12" t="str">
        <x:v>1nv2w016jTsvoqCg9yJeFA</x:v>
      </x:c>
      <x:c r="L49" s="12" t="str">
        <x:v>f00eefecaa1b5bac3c4a7b722d84d54ec9e7698c9e696b44d8fa6acd59a6fe6f</x:v>
      </x:c>
    </x:row>
    <x:row r="50" ht="27" customHeight="1">
      <x:c r="A50" s="12" t="str">
        <x:v>A32-05.ifc</x:v>
      </x:c>
      <x:c r="B50" s="12" t="str">
        <x:v>2_twyG0J5U9QPvkaeNTkWo</x:v>
      </x:c>
      <x:c r="C50" s="12" t="str">
        <x:v>IfcSlab</x:v>
      </x:c>
      <x:c r="D50" s="13" t="str">
        <x:v>05</x:v>
      </x:c>
      <x:c r="E50" s="12" t="str">
        <x:v>SLAB_XY_PROFILE_PROJECTION</x:v>
      </x:c>
      <x:c r="F50" s="14" t="n">
        <x:v>0.0000402846189561616</x:v>
      </x:c>
      <x:c r="G50" s="12" t="str">
        <x:v>m2</x:v>
      </x:c>
      <x:c r="H50" s="12" t="str">
        <x:v>Single placed slab projection; overlaps remain until storey union. Model boundary, not legal room area.</x:v>
      </x:c>
      <x:c r="I50" s="12" t="str">
        <x:v>S-COM / 복도·코어 슬래브</x:v>
      </x:c>
      <x:c r="J50" s="12" t="str">
        <x:v>floor</x:v>
      </x:c>
      <x:c r="K50" s="12" t="str">
        <x:v>3DiSH_U0zMSvDVrTJwizMh</x:v>
      </x:c>
      <x:c r="L50" s="12" t="str">
        <x:v>f00eefecaa1b5bac3c4a7b722d84d54ec9e7698c9e696b44d8fa6acd59a6fe6f</x:v>
      </x:c>
    </x:row>
    <x:row r="51" ht="27" customHeight="1">
      <x:c r="A51" s="12" t="str">
        <x:v>A32-05.ifc</x:v>
      </x:c>
      <x:c r="B51" s="12" t="str">
        <x:v>2cOi3GgEvT0QRU8$lyyQeE</x:v>
      </x:c>
      <x:c r="C51" s="12" t="str">
        <x:v>IfcSpace</x:v>
      </x:c>
      <x:c r="D51" s="13" t="str">
        <x:v>05</x:v>
      </x:c>
      <x:c r="E51" s="12" t="str">
        <x:v>NO_SPACE_GEOMETRY</x:v>
      </x:c>
      <x:c r="F51" s="14"/>
      <x:c r="G51" s="12" t="str">
        <x:v>m2</x:v>
      </x:c>
      <x:c r="H51" s="12" t="str">
        <x:v>Missing space geometry. Blank area is not zero; use separately labelled contained slab union.</x:v>
      </x:c>
      <x:c r="I51" s="12" t="str">
        <x:v>05-U12 / 25형</x:v>
      </x:c>
      <x:c r="J51" s="12" t="str">
        <x:v>space</x:v>
      </x:c>
      <x:c r="K51" s="12" t="str"/>
      <x:c r="L51" s="12" t="str">
        <x:v>f00eefecaa1b5bac3c4a7b722d84d54ec9e7698c9e696b44d8fa6acd59a6fe6f</x:v>
      </x:c>
    </x:row>
    <x:row r="52" ht="27" customHeight="1">
      <x:c r="A52" s="12" t="str">
        <x:v>A32-05.ifc</x:v>
      </x:c>
      <x:c r="B52" s="12" t="str">
        <x:v>2d4XRHmTnPlvMROLmcP_Pw</x:v>
      </x:c>
      <x:c r="C52" s="12" t="str">
        <x:v>IfcSpace</x:v>
      </x:c>
      <x:c r="D52" s="13" t="str">
        <x:v>05</x:v>
      </x:c>
      <x:c r="E52" s="12" t="str">
        <x:v>NO_SPACE_GEOMETRY</x:v>
      </x:c>
      <x:c r="F52" s="14"/>
      <x:c r="G52" s="12" t="str">
        <x:v>m2</x:v>
      </x:c>
      <x:c r="H52" s="12" t="str">
        <x:v>Missing space geometry. Blank area is not zero; use separately labelled contained slab union.</x:v>
      </x:c>
      <x:c r="I52" s="12" t="str">
        <x:v>05-U06 / 54형</x:v>
      </x:c>
      <x:c r="J52" s="12" t="str">
        <x:v>space</x:v>
      </x:c>
      <x:c r="K52" s="12" t="str"/>
      <x:c r="L52" s="12" t="str">
        <x:v>f00eefecaa1b5bac3c4a7b722d84d54ec9e7698c9e696b44d8fa6acd59a6fe6f</x:v>
      </x:c>
    </x:row>
    <x:row r="53" ht="27" customHeight="1">
      <x:c r="A53" s="12" t="str">
        <x:v>A32-05.ifc</x:v>
      </x:c>
      <x:c r="B53" s="12" t="str">
        <x:v>2f5BcwfnPNOhf9DsLct8cN</x:v>
      </x:c>
      <x:c r="C53" s="12" t="str">
        <x:v>IfcSlab</x:v>
      </x:c>
      <x:c r="D53" s="13" t="str">
        <x:v>05</x:v>
      </x:c>
      <x:c r="E53" s="12" t="str">
        <x:v>SLAB_XY_PROFILE_PROJECTION</x:v>
      </x:c>
      <x:c r="F53" s="14" t="n">
        <x:v>0.00001986789459351712</x:v>
      </x:c>
      <x:c r="G53" s="12" t="str">
        <x:v>m2</x:v>
      </x:c>
      <x:c r="H53" s="12" t="str">
        <x:v>Single placed slab projection; overlaps remain until storey union. Model boundary, not legal room area.</x:v>
      </x:c>
      <x:c r="I53" s="12" t="str">
        <x:v>S-U03 / 25형 슬래브</x:v>
      </x:c>
      <x:c r="J53" s="12" t="str">
        <x:v>floor</x:v>
      </x:c>
      <x:c r="K53" s="12" t="str">
        <x:v>0lHf0WrCDKn9BcC0NZHf2X</x:v>
      </x:c>
      <x:c r="L53" s="12" t="str">
        <x:v>f00eefecaa1b5bac3c4a7b722d84d54ec9e7698c9e696b44d8fa6acd59a6fe6f</x:v>
      </x:c>
    </x:row>
    <x:row r="54" ht="27" customHeight="1">
      <x:c r="A54" s="12" t="str">
        <x:v>A32-05.ifc</x:v>
      </x:c>
      <x:c r="B54" s="12" t="str">
        <x:v>2hG_uJLG1NuBz2Gpdj2OrE</x:v>
      </x:c>
      <x:c r="C54" s="12" t="str">
        <x:v>IfcSlab</x:v>
      </x:c>
      <x:c r="D54" s="13" t="str">
        <x:v>05</x:v>
      </x:c>
      <x:c r="E54" s="12" t="str">
        <x:v>SLAB_XY_PROFILE_PROJECTION</x:v>
      </x:c>
      <x:c r="F54" s="14" t="n">
        <x:v>0.00027574111953219054</x:v>
      </x:c>
      <x:c r="G54" s="12" t="str">
        <x:v>m2</x:v>
      </x:c>
      <x:c r="H54" s="12" t="str">
        <x:v>Single placed slab projection; overlaps remain until storey union. Model boundary, not legal room area.</x:v>
      </x:c>
      <x:c r="I54" s="12" t="str">
        <x:v>S-COM / 복도·코어 슬래브</x:v>
      </x:c>
      <x:c r="J54" s="12" t="str">
        <x:v>floor</x:v>
      </x:c>
      <x:c r="K54" s="12" t="str">
        <x:v>07rOqTB8nTyxFSYf6m4gLH</x:v>
      </x:c>
      <x:c r="L54" s="12" t="str">
        <x:v>f00eefecaa1b5bac3c4a7b722d84d54ec9e7698c9e696b44d8fa6acd59a6fe6f</x:v>
      </x:c>
    </x:row>
    <x:row r="55" ht="27" customHeight="1">
      <x:c r="A55" s="12" t="str">
        <x:v>A32-05.ifc</x:v>
      </x:c>
      <x:c r="B55" s="12" t="str">
        <x:v>2hqGV5zlXQ0PjdW6sK859h</x:v>
      </x:c>
      <x:c r="C55" s="12" t="str">
        <x:v>IfcSlab</x:v>
      </x:c>
      <x:c r="D55" s="13" t="str">
        <x:v>05</x:v>
      </x:c>
      <x:c r="E55" s="12" t="str">
        <x:v>SLAB_XY_PROFILE_PROJECTION</x:v>
      </x:c>
      <x:c r="F55" s="14" t="n">
        <x:v>30.190483399099442</x:v>
      </x:c>
      <x:c r="G55" s="12" t="str">
        <x:v>m2</x:v>
      </x:c>
      <x:c r="H55" s="12" t="str">
        <x:v>Single placed slab projection; overlaps remain until storey union. Model boundary, not legal room area.</x:v>
      </x:c>
      <x:c r="I55" s="12" t="str">
        <x:v>S-U02 / 25형 슬래브</x:v>
      </x:c>
      <x:c r="J55" s="12" t="str">
        <x:v>floor</x:v>
      </x:c>
      <x:c r="K55" s="12" t="str">
        <x:v>2zjk9b$xHSjRsIyrpIZ3da</x:v>
      </x:c>
      <x:c r="L55" s="12" t="str">
        <x:v>f00eefecaa1b5bac3c4a7b722d84d54ec9e7698c9e696b44d8fa6acd59a6fe6f</x:v>
      </x:c>
    </x:row>
    <x:row r="56" ht="27" customHeight="1">
      <x:c r="A56" s="12" t="str">
        <x:v>A32-05.ifc</x:v>
      </x:c>
      <x:c r="B56" s="12" t="str">
        <x:v>2lpLUE9D9Nyxh5Ay4bfOUj</x:v>
      </x:c>
      <x:c r="C56" s="12" t="str">
        <x:v>IfcSlab</x:v>
      </x:c>
      <x:c r="D56" s="13" t="str">
        <x:v>05</x:v>
      </x:c>
      <x:c r="E56" s="12" t="str">
        <x:v>SLAB_XY_PROFILE_PROJECTION</x:v>
      </x:c>
      <x:c r="F56" s="14" t="n">
        <x:v>30.190625429310668</x:v>
      </x:c>
      <x:c r="G56" s="12" t="str">
        <x:v>m2</x:v>
      </x:c>
      <x:c r="H56" s="12" t="str">
        <x:v>Single placed slab projection; overlaps remain until storey union. Model boundary, not legal room area.</x:v>
      </x:c>
      <x:c r="I56" s="12" t="str">
        <x:v>S-U12 / 25형 슬래브</x:v>
      </x:c>
      <x:c r="J56" s="12" t="str">
        <x:v>floor</x:v>
      </x:c>
      <x:c r="K56" s="12" t="str">
        <x:v>25QQzwVsnSheu6KL_bRu8I</x:v>
      </x:c>
      <x:c r="L56" s="12" t="str">
        <x:v>f00eefecaa1b5bac3c4a7b722d84d54ec9e7698c9e696b44d8fa6acd59a6fe6f</x:v>
      </x:c>
    </x:row>
    <x:row r="57" ht="27" customHeight="1">
      <x:c r="A57" s="12" t="str">
        <x:v>A32-05.ifc</x:v>
      </x:c>
      <x:c r="B57" s="12" t="str">
        <x:v>2o1SlXtNXHsB2y3e_jAMyK</x:v>
      </x:c>
      <x:c r="C57" s="12" t="str">
        <x:v>IfcSlab</x:v>
      </x:c>
      <x:c r="D57" s="13" t="str">
        <x:v>05</x:v>
      </x:c>
      <x:c r="E57" s="12" t="str">
        <x:v>SLAB_XY_PROFILE_PROJECTION</x:v>
      </x:c>
      <x:c r="F57" s="14" t="n">
        <x:v>92.74044223648404</x:v>
      </x:c>
      <x:c r="G57" s="12" t="str">
        <x:v>m2</x:v>
      </x:c>
      <x:c r="H57" s="12" t="str">
        <x:v>Single placed slab projection; overlaps remain until storey union. Model boundary, not legal room area.</x:v>
      </x:c>
      <x:c r="I57" s="12" t="str">
        <x:v>S-U01 / 84B형 슬래브</x:v>
      </x:c>
      <x:c r="J57" s="12" t="str">
        <x:v>floor</x:v>
      </x:c>
      <x:c r="K57" s="12" t="str">
        <x:v>085RA_DITNN8g274ToU3rX</x:v>
      </x:c>
      <x:c r="L57" s="12" t="str">
        <x:v>f00eefecaa1b5bac3c4a7b722d84d54ec9e7698c9e696b44d8fa6acd59a6fe6f</x:v>
      </x:c>
    </x:row>
    <x:row r="58" ht="27" customHeight="1">
      <x:c r="A58" s="12" t="str">
        <x:v>A32-05.ifc</x:v>
      </x:c>
      <x:c r="B58" s="12" t="str">
        <x:v>2ryZTK62LIdP0FRWkqmhJ3</x:v>
      </x:c>
      <x:c r="C58" s="12" t="str">
        <x:v>IfcSlab</x:v>
      </x:c>
      <x:c r="D58" s="13" t="str">
        <x:v>05</x:v>
      </x:c>
      <x:c r="E58" s="12" t="str">
        <x:v>SLAB_XY_PROFILE_PROJECTION</x:v>
      </x:c>
      <x:c r="F58" s="14" t="n">
        <x:v>0.00030692649483251926</x:v>
      </x:c>
      <x:c r="G58" s="12" t="str">
        <x:v>m2</x:v>
      </x:c>
      <x:c r="H58" s="12" t="str">
        <x:v>Single placed slab projection; overlaps remain until storey union. Model boundary, not legal room area.</x:v>
      </x:c>
      <x:c r="I58" s="12" t="str">
        <x:v>S-U14 / 54형 슬래브</x:v>
      </x:c>
      <x:c r="J58" s="12" t="str">
        <x:v>floor</x:v>
      </x:c>
      <x:c r="K58" s="12" t="str">
        <x:v>3qOOT8nifThBvd7H0OUyCO</x:v>
      </x:c>
      <x:c r="L58" s="12" t="str">
        <x:v>f00eefecaa1b5bac3c4a7b722d84d54ec9e7698c9e696b44d8fa6acd59a6fe6f</x:v>
      </x:c>
    </x:row>
    <x:row r="59" ht="27" customHeight="1">
      <x:c r="A59" s="12" t="str">
        <x:v>A32-05.ifc</x:v>
      </x:c>
      <x:c r="B59" s="12" t="str">
        <x:v>2tGiKdxWnOkREPKR9dnIL0</x:v>
      </x:c>
      <x:c r="C59" s="12" t="str">
        <x:v>IfcSlab</x:v>
      </x:c>
      <x:c r="D59" s="13" t="str">
        <x:v>05</x:v>
      </x:c>
      <x:c r="E59" s="12" t="str">
        <x:v>SLAB_XY_PROFILE_PROJECTION</x:v>
      </x:c>
      <x:c r="F59" s="14" t="n">
        <x:v>0.0003095418611070485</x:v>
      </x:c>
      <x:c r="G59" s="12" t="str">
        <x:v>m2</x:v>
      </x:c>
      <x:c r="H59" s="12" t="str">
        <x:v>Single placed slab projection; overlaps remain until storey union. Model boundary, not legal room area.</x:v>
      </x:c>
      <x:c r="I59" s="12" t="str">
        <x:v>S-U13 / 65형 슬래브</x:v>
      </x:c>
      <x:c r="J59" s="12" t="str">
        <x:v>floor</x:v>
      </x:c>
      <x:c r="K59" s="12" t="str">
        <x:v>3WBjYvLrXQgAyDIcgh$pQE</x:v>
      </x:c>
      <x:c r="L59" s="12" t="str">
        <x:v>f00eefecaa1b5bac3c4a7b722d84d54ec9e7698c9e696b44d8fa6acd59a6fe6f</x:v>
      </x:c>
    </x:row>
    <x:row r="60" ht="27" customHeight="1">
      <x:c r="A60" s="12" t="str">
        <x:v>A32-05.ifc</x:v>
      </x:c>
      <x:c r="B60" s="12" t="str">
        <x:v>2tpeCRKKrTLAIT1vugvqJX</x:v>
      </x:c>
      <x:c r="C60" s="12" t="str">
        <x:v>IfcSpace</x:v>
      </x:c>
      <x:c r="D60" s="13" t="str">
        <x:v>05</x:v>
      </x:c>
      <x:c r="E60" s="12" t="str">
        <x:v>NO_SPACE_GEOMETRY</x:v>
      </x:c>
      <x:c r="F60" s="14"/>
      <x:c r="G60" s="12" t="str">
        <x:v>m2</x:v>
      </x:c>
      <x:c r="H60" s="12" t="str">
        <x:v>Missing space geometry. Blank area is not zero; use separately labelled contained slab union.</x:v>
      </x:c>
      <x:c r="I60" s="12" t="str">
        <x:v>05-U01 / 84B형</x:v>
      </x:c>
      <x:c r="J60" s="12" t="str">
        <x:v>space</x:v>
      </x:c>
      <x:c r="K60" s="12" t="str"/>
      <x:c r="L60" s="12" t="str">
        <x:v>f00eefecaa1b5bac3c4a7b722d84d54ec9e7698c9e696b44d8fa6acd59a6fe6f</x:v>
      </x:c>
    </x:row>
    <x:row r="61" ht="27" customHeight="1">
      <x:c r="A61" s="12" t="str">
        <x:v>A32-05.ifc</x:v>
      </x:c>
      <x:c r="B61" s="12" t="str">
        <x:v>2vrHyYGuLIkAYdxDseFvOV</x:v>
      </x:c>
      <x:c r="C61" s="12" t="str">
        <x:v>IfcSlab</x:v>
      </x:c>
      <x:c r="D61" s="13" t="str">
        <x:v>05</x:v>
      </x:c>
      <x:c r="E61" s="12" t="str">
        <x:v>SLAB_XY_PROFILE_PROJECTION</x:v>
      </x:c>
      <x:c r="F61" s="14" t="n">
        <x:v>0.00029742963480365337</x:v>
      </x:c>
      <x:c r="G61" s="12" t="str">
        <x:v>m2</x:v>
      </x:c>
      <x:c r="H61" s="12" t="str">
        <x:v>Single placed slab projection; overlaps remain until storey union. Model boundary, not legal room area.</x:v>
      </x:c>
      <x:c r="I61" s="12" t="str">
        <x:v>S-U04 / 25형 슬래브</x:v>
      </x:c>
      <x:c r="J61" s="12" t="str">
        <x:v>floor</x:v>
      </x:c>
      <x:c r="K61" s="12" t="str">
        <x:v>05QxKo21HTrQqxu_jmWzLx</x:v>
      </x:c>
      <x:c r="L61" s="12" t="str">
        <x:v>f00eefecaa1b5bac3c4a7b722d84d54ec9e7698c9e696b44d8fa6acd59a6fe6f</x:v>
      </x:c>
    </x:row>
    <x:row r="62" ht="27" customHeight="1">
      <x:c r="A62" s="12" t="str">
        <x:v>A32-05.ifc</x:v>
      </x:c>
      <x:c r="B62" s="12" t="str">
        <x:v>2vzcNV4n9TufIzhYueJkyO</x:v>
      </x:c>
      <x:c r="C62" s="12" t="str">
        <x:v>IfcSlab</x:v>
      </x:c>
      <x:c r="D62" s="13" t="str">
        <x:v>05</x:v>
      </x:c>
      <x:c r="E62" s="12" t="str">
        <x:v>SLAB_XY_PROFILE_PROJECTION</x:v>
      </x:c>
      <x:c r="F62" s="14" t="n">
        <x:v>0.0002967330273523924</x:v>
      </x:c>
      <x:c r="G62" s="12" t="str">
        <x:v>m2</x:v>
      </x:c>
      <x:c r="H62" s="12" t="str">
        <x:v>Single placed slab projection; overlaps remain until storey union. Model boundary, not legal room area.</x:v>
      </x:c>
      <x:c r="I62" s="12" t="str">
        <x:v>S-U10 / 54형 슬래브</x:v>
      </x:c>
      <x:c r="J62" s="12" t="str">
        <x:v>floor</x:v>
      </x:c>
      <x:c r="K62" s="12" t="str">
        <x:v>0z6jxeLj5Mieih27TAQJO9</x:v>
      </x:c>
      <x:c r="L62" s="12" t="str">
        <x:v>f00eefecaa1b5bac3c4a7b722d84d54ec9e7698c9e696b44d8fa6acd59a6fe6f</x:v>
      </x:c>
    </x:row>
    <x:row r="63" ht="27" customHeight="1">
      <x:c r="A63" s="12" t="str">
        <x:v>A32-05.ifc</x:v>
      </x:c>
      <x:c r="B63" s="12" t="str">
        <x:v>3$seYruxrGqu4cUiOIRzMh</x:v>
      </x:c>
      <x:c r="C63" s="12" t="str">
        <x:v>IfcSlab</x:v>
      </x:c>
      <x:c r="D63" s="13" t="str">
        <x:v>05</x:v>
      </x:c>
      <x:c r="E63" s="12" t="str">
        <x:v>SLAB_XY_PROFILE_PROJECTION</x:v>
      </x:c>
      <x:c r="F63" s="14" t="n">
        <x:v>1.7359999999999982</x:v>
      </x:c>
      <x:c r="G63" s="12" t="str">
        <x:v>m2</x:v>
      </x:c>
      <x:c r="H63" s="12" t="str">
        <x:v>Single placed slab projection; overlaps remain until storey union. Model boundary, not legal room area.</x:v>
      </x:c>
      <x:c r="I63" s="12" t="str">
        <x:v>STAIR-L2 / 기준층 출입참</x:v>
      </x:c>
      <x:c r="J63" s="12" t="str">
        <x:v>landing</x:v>
      </x:c>
      <x:c r="K63" s="12" t="str">
        <x:v>09ER2f0kTHXOS7NSAEqFXl</x:v>
      </x:c>
      <x:c r="L63" s="12" t="str">
        <x:v>f00eefecaa1b5bac3c4a7b722d84d54ec9e7698c9e696b44d8fa6acd59a6fe6f</x:v>
      </x:c>
    </x:row>
    <x:row r="64" ht="27" customHeight="1">
      <x:c r="A64" s="12" t="str">
        <x:v>A32-05.ifc</x:v>
      </x:c>
      <x:c r="B64" s="12" t="str">
        <x:v>32I1FLXYbS0flQCJ8fPuro</x:v>
      </x:c>
      <x:c r="C64" s="12" t="str">
        <x:v>IfcSlab</x:v>
      </x:c>
      <x:c r="D64" s="13" t="str">
        <x:v>05</x:v>
      </x:c>
      <x:c r="E64" s="12" t="str">
        <x:v>SLAB_XY_PROFILE_PROJECTION</x:v>
      </x:c>
      <x:c r="F64" s="14" t="n">
        <x:v>72.55764468531567</x:v>
      </x:c>
      <x:c r="G64" s="12" t="str">
        <x:v>m2</x:v>
      </x:c>
      <x:c r="H64" s="12" t="str">
        <x:v>Single placed slab projection; overlaps remain until storey union. Model boundary, not legal room area.</x:v>
      </x:c>
      <x:c r="I64" s="12" t="str">
        <x:v>S-U13 / 65형 슬래브</x:v>
      </x:c>
      <x:c r="J64" s="12" t="str">
        <x:v>floor</x:v>
      </x:c>
      <x:c r="K64" s="12" t="str">
        <x:v>0yV64O8hjM0BqWAb2vBhmE</x:v>
      </x:c>
      <x:c r="L64" s="12" t="str">
        <x:v>f00eefecaa1b5bac3c4a7b722d84d54ec9e7698c9e696b44d8fa6acd59a6fe6f</x:v>
      </x:c>
    </x:row>
    <x:row r="65" ht="27" customHeight="1">
      <x:c r="A65" s="12" t="str">
        <x:v>A32-05.ifc</x:v>
      </x:c>
      <x:c r="B65" s="12" t="str">
        <x:v>37sXW19A1PwfBgiKVzuVvv</x:v>
      </x:c>
      <x:c r="C65" s="12" t="str">
        <x:v>IfcSpace</x:v>
      </x:c>
      <x:c r="D65" s="13" t="str">
        <x:v>05</x:v>
      </x:c>
      <x:c r="E65" s="12" t="str">
        <x:v>NO_SPACE_GEOMETRY</x:v>
      </x:c>
      <x:c r="F65" s="14"/>
      <x:c r="G65" s="12" t="str">
        <x:v>m2</x:v>
      </x:c>
      <x:c r="H65" s="12" t="str">
        <x:v>Missing space geometry. Blank area is not zero; use separately labelled contained slab union.</x:v>
      </x:c>
      <x:c r="I65" s="12" t="str">
        <x:v>05-U09 / 84A형</x:v>
      </x:c>
      <x:c r="J65" s="12" t="str">
        <x:v>space</x:v>
      </x:c>
      <x:c r="K65" s="12" t="str"/>
      <x:c r="L65" s="12" t="str">
        <x:v>f00eefecaa1b5bac3c4a7b722d84d54ec9e7698c9e696b44d8fa6acd59a6fe6f</x:v>
      </x:c>
    </x:row>
    <x:row r="66" ht="27" customHeight="1">
      <x:c r="A66" s="12" t="str">
        <x:v>A32-05.ifc</x:v>
      </x:c>
      <x:c r="B66" s="12" t="str">
        <x:v>3GzvQ$Gg5OYvKhXfDeCfFY</x:v>
      </x:c>
      <x:c r="C66" s="12" t="str">
        <x:v>IfcSlab</x:v>
      </x:c>
      <x:c r="D66" s="13" t="str">
        <x:v>05</x:v>
      </x:c>
      <x:c r="E66" s="12" t="str">
        <x:v>SLAB_XY_PROFILE_PROJECTION</x:v>
      </x:c>
      <x:c r="F66" s="14" t="n">
        <x:v>0.000061030649024233476</x:v>
      </x:c>
      <x:c r="G66" s="12" t="str">
        <x:v>m2</x:v>
      </x:c>
      <x:c r="H66" s="12" t="str">
        <x:v>Single placed slab projection; overlaps remain until storey union. Model boundary, not legal room area.</x:v>
      </x:c>
      <x:c r="I66" s="12" t="str">
        <x:v>S-COM / 복도·코어 슬래브</x:v>
      </x:c>
      <x:c r="J66" s="12" t="str">
        <x:v>floor</x:v>
      </x:c>
      <x:c r="K66" s="12" t="str">
        <x:v>2WOeRwsqPK3BMgjRuRJ2wa</x:v>
      </x:c>
      <x:c r="L66" s="12" t="str">
        <x:v>f00eefecaa1b5bac3c4a7b722d84d54ec9e7698c9e696b44d8fa6acd59a6fe6f</x:v>
      </x:c>
    </x:row>
    <x:row r="67" ht="27" customHeight="1">
      <x:c r="A67" s="12" t="str">
        <x:v>A32-05.ifc</x:v>
      </x:c>
      <x:c r="B67" s="12" t="str">
        <x:v>3K0f0u5dPKXwS$_N6PCjTu</x:v>
      </x:c>
      <x:c r="C67" s="12" t="str">
        <x:v>IfcSlab</x:v>
      </x:c>
      <x:c r="D67" s="13" t="str">
        <x:v>05</x:v>
      </x:c>
      <x:c r="E67" s="12" t="str">
        <x:v>SLAB_XY_PROFILE_PROJECTION</x:v>
      </x:c>
      <x:c r="F67" s="14" t="n">
        <x:v>0.00001986789069412963</x:v>
      </x:c>
      <x:c r="G67" s="12" t="str">
        <x:v>m2</x:v>
      </x:c>
      <x:c r="H67" s="12" t="str">
        <x:v>Single placed slab projection; overlaps remain until storey union. Model boundary, not legal room area.</x:v>
      </x:c>
      <x:c r="I67" s="12" t="str">
        <x:v>S-COM / 복도·코어 슬래브</x:v>
      </x:c>
      <x:c r="J67" s="12" t="str">
        <x:v>floor</x:v>
      </x:c>
      <x:c r="K67" s="12" t="str">
        <x:v>0Vp1pGdTXTqumHw51NDGSb</x:v>
      </x:c>
      <x:c r="L67" s="12" t="str">
        <x:v>f00eefecaa1b5bac3c4a7b722d84d54ec9e7698c9e696b44d8fa6acd59a6fe6f</x:v>
      </x:c>
    </x:row>
    <x:row r="68" ht="27" customHeight="1">
      <x:c r="A68" s="12" t="str">
        <x:v>A32-05.ifc</x:v>
      </x:c>
      <x:c r="B68" s="12" t="str">
        <x:v>3MD$jU4RTIO8Y8LoYUQqCn</x:v>
      </x:c>
      <x:c r="C68" s="12" t="str">
        <x:v>IfcSlab</x:v>
      </x:c>
      <x:c r="D68" s="13" t="str">
        <x:v>05</x:v>
      </x:c>
      <x:c r="E68" s="12" t="str">
        <x:v>SLAB_XY_PROFILE_PROJECTION</x:v>
      </x:c>
      <x:c r="F68" s="14" t="n">
        <x:v>0.000174570689317477</x:v>
      </x:c>
      <x:c r="G68" s="12" t="str">
        <x:v>m2</x:v>
      </x:c>
      <x:c r="H68" s="12" t="str">
        <x:v>Single placed slab projection; overlaps remain until storey union. Model boundary, not legal room area.</x:v>
      </x:c>
      <x:c r="I68" s="12" t="str">
        <x:v>S-U12 / 25형 슬래브</x:v>
      </x:c>
      <x:c r="J68" s="12" t="str">
        <x:v>floor</x:v>
      </x:c>
      <x:c r="K68" s="12" t="str">
        <x:v>0WPkwmdQPQrBd7C_Lub45G</x:v>
      </x:c>
      <x:c r="L68" s="12" t="str">
        <x:v>f00eefecaa1b5bac3c4a7b722d84d54ec9e7698c9e696b44d8fa6acd59a6fe6f</x:v>
      </x:c>
    </x:row>
    <x:row r="69" ht="27" customHeight="1">
      <x:c r="A69" s="12" t="str">
        <x:v>A32-05.ifc</x:v>
      </x:c>
      <x:c r="B69" s="12" t="str">
        <x:v>3Pnbo46Q9QkhQbx_fnl$jE</x:v>
      </x:c>
      <x:c r="C69" s="12" t="str">
        <x:v>IfcSlab</x:v>
      </x:c>
      <x:c r="D69" s="13" t="str">
        <x:v>05</x:v>
      </x:c>
      <x:c r="E69" s="12" t="str">
        <x:v>SLAB_XY_PROFILE_PROJECTION</x:v>
      </x:c>
      <x:c r="F69" s="14" t="n">
        <x:v>0.00039920223882461414</x:v>
      </x:c>
      <x:c r="G69" s="12" t="str">
        <x:v>m2</x:v>
      </x:c>
      <x:c r="H69" s="12" t="str">
        <x:v>Single placed slab projection; overlaps remain until storey union. Model boundary, not legal room area.</x:v>
      </x:c>
      <x:c r="I69" s="12" t="str">
        <x:v>S-U09 / 84A형 슬래브</x:v>
      </x:c>
      <x:c r="J69" s="12" t="str">
        <x:v>floor</x:v>
      </x:c>
      <x:c r="K69" s="12" t="str">
        <x:v>1DPm52FwzL2gXNB_mlBOh_</x:v>
      </x:c>
      <x:c r="L69" s="12" t="str">
        <x:v>f00eefecaa1b5bac3c4a7b722d84d54ec9e7698c9e696b44d8fa6acd59a6fe6f</x:v>
      </x:c>
    </x:row>
    <x:row r="70" ht="27" customHeight="1">
      <x:c r="A70" s="12" t="str">
        <x:v>A32-05.ifc</x:v>
      </x:c>
      <x:c r="B70" s="12" t="str">
        <x:v>3WQB3Ld4HSphS7NpqvjGSo</x:v>
      </x:c>
      <x:c r="C70" s="12" t="str">
        <x:v>IfcSlab</x:v>
      </x:c>
      <x:c r="D70" s="13" t="str">
        <x:v>05</x:v>
      </x:c>
      <x:c r="E70" s="12" t="str">
        <x:v>SLAB_XY_PROFILE_PROJECTION</x:v>
      </x:c>
      <x:c r="F70" s="14" t="n">
        <x:v>0.00004577278863231795</x:v>
      </x:c>
      <x:c r="G70" s="12" t="str">
        <x:v>m2</x:v>
      </x:c>
      <x:c r="H70" s="12" t="str">
        <x:v>Single placed slab projection; overlaps remain until storey union. Model boundary, not legal room area.</x:v>
      </x:c>
      <x:c r="I70" s="12" t="str">
        <x:v>S-U09 / 84A형 슬래브</x:v>
      </x:c>
      <x:c r="J70" s="12" t="str">
        <x:v>floor</x:v>
      </x:c>
      <x:c r="K70" s="12" t="str">
        <x:v>3SuzV4z7nU1QSsuc3xH53Z</x:v>
      </x:c>
      <x:c r="L70" s="12" t="str">
        <x:v>f00eefecaa1b5bac3c4a7b722d84d54ec9e7698c9e696b44d8fa6acd59a6fe6f</x:v>
      </x:c>
    </x:row>
    <x:row r="71" ht="27" customHeight="1">
      <x:c r="A71" s="12" t="str">
        <x:v>A32-05.ifc</x:v>
      </x:c>
      <x:c r="B71" s="12" t="str">
        <x:v>3b__D83mnOBuQwFQ7nMpik</x:v>
      </x:c>
      <x:c r="C71" s="12" t="str">
        <x:v>IfcSlab</x:v>
      </x:c>
      <x:c r="D71" s="13" t="str">
        <x:v>05</x:v>
      </x:c>
      <x:c r="E71" s="12" t="str">
        <x:v>SLAB_XY_PROFILE_PROJECTION</x:v>
      </x:c>
      <x:c r="F71" s="14" t="n">
        <x:v>3.900000000000002</x:v>
      </x:c>
      <x:c r="G71" s="12" t="str">
        <x:v>m2</x:v>
      </x:c>
      <x:c r="H71" s="12" t="str">
        <x:v>Single placed slab projection; overlaps remain until storey union. Model boundary, not legal room area.</x:v>
      </x:c>
      <x:c r="I71" s="12" t="str">
        <x:v>STAIR-L1 / UP 중간참</x:v>
      </x:c>
      <x:c r="J71" s="12" t="str">
        <x:v>landing</x:v>
      </x:c>
      <x:c r="K71" s="12" t="str">
        <x:v>0AnLL8cFHOhAjE2i4P0X4d</x:v>
      </x:c>
      <x:c r="L71" s="12" t="str">
        <x:v>f00eefecaa1b5bac3c4a7b722d84d54ec9e7698c9e696b44d8fa6acd59a6fe6f</x:v>
      </x:c>
    </x:row>
    <x:row r="72" ht="27" customHeight="1">
      <x:c r="A72" s="12" t="str">
        <x:v>A32-05.ifc</x:v>
      </x:c>
      <x:c r="B72" s="12" t="str">
        <x:v>3c8ZQECcHGLxWOv84J7Alu</x:v>
      </x:c>
      <x:c r="C72" s="12" t="str">
        <x:v>IfcSpace</x:v>
      </x:c>
      <x:c r="D72" s="13" t="str">
        <x:v>05</x:v>
      </x:c>
      <x:c r="E72" s="12" t="str">
        <x:v>NO_SPACE_GEOMETRY</x:v>
      </x:c>
      <x:c r="F72" s="14"/>
      <x:c r="G72" s="12" t="str">
        <x:v>m2</x:v>
      </x:c>
      <x:c r="H72" s="12" t="str">
        <x:v>Missing space geometry. Blank area is not zero; use separately labelled contained slab union.</x:v>
      </x:c>
      <x:c r="I72" s="12" t="str">
        <x:v>05-U03 / 25형</x:v>
      </x:c>
      <x:c r="J72" s="12" t="str">
        <x:v>space</x:v>
      </x:c>
      <x:c r="K72" s="12" t="str"/>
      <x:c r="L72" s="12" t="str">
        <x:v>f00eefecaa1b5bac3c4a7b722d84d54ec9e7698c9e696b44d8fa6acd59a6fe6f</x:v>
      </x:c>
    </x:row>
    <x:row r="73" ht="27" customHeight="1">
      <x:c r="A73" s="12" t="str">
        <x:v>A32-05.ifc</x:v>
      </x:c>
      <x:c r="B73" s="12" t="str">
        <x:v>3jwFhXcqXVWeEYANyZJwZI</x:v>
      </x:c>
      <x:c r="C73" s="12" t="str">
        <x:v>IfcSlab</x:v>
      </x:c>
      <x:c r="D73" s="13" t="str">
        <x:v>05</x:v>
      </x:c>
      <x:c r="E73" s="12" t="str">
        <x:v>SLAB_XY_PROFILE_PROJECTION</x:v>
      </x:c>
      <x:c r="F73" s="14" t="n">
        <x:v>0.00004028461707861703</x:v>
      </x:c>
      <x:c r="G73" s="12" t="str">
        <x:v>m2</x:v>
      </x:c>
      <x:c r="H73" s="12" t="str">
        <x:v>Single placed slab projection; overlaps remain until storey union. Model boundary, not legal room area.</x:v>
      </x:c>
      <x:c r="I73" s="12" t="str">
        <x:v>S-U06 / 54형 슬래브</x:v>
      </x:c>
      <x:c r="J73" s="12" t="str">
        <x:v>floor</x:v>
      </x:c>
      <x:c r="K73" s="12" t="str">
        <x:v>1SLqXKrpTQN8ENeObY$53t</x:v>
      </x:c>
      <x:c r="L73" s="12" t="str">
        <x:v>f00eefecaa1b5bac3c4a7b722d84d54ec9e7698c9e696b44d8fa6acd59a6fe6f</x:v>
      </x:c>
    </x:row>
    <x:row r="74" ht="27" customHeight="1">
      <x:c r="A74" s="12" t="str">
        <x:v>A32-05.ifc</x:v>
      </x:c>
      <x:c r="B74" s="12" t="str">
        <x:v>3kKXg0ZDDVQxzUSJeb6zJP</x:v>
      </x:c>
      <x:c r="C74" s="12" t="str">
        <x:v>IfcSlab</x:v>
      </x:c>
      <x:c r="D74" s="13" t="str">
        <x:v>05</x:v>
      </x:c>
      <x:c r="E74" s="12" t="str">
        <x:v>SLAB_XY_PROFILE_PROJECTION</x:v>
      </x:c>
      <x:c r="F74" s="14" t="n">
        <x:v>0.000045772823239555635</x:v>
      </x:c>
      <x:c r="G74" s="12" t="str">
        <x:v>m2</x:v>
      </x:c>
      <x:c r="H74" s="12" t="str">
        <x:v>Single placed slab projection; overlaps remain until storey union. Model boundary, not legal room area.</x:v>
      </x:c>
      <x:c r="I74" s="12" t="str">
        <x:v>S-U13 / 65형 슬래브</x:v>
      </x:c>
      <x:c r="J74" s="12" t="str">
        <x:v>floor</x:v>
      </x:c>
      <x:c r="K74" s="12" t="str">
        <x:v>315mrv14HTivctVJyKTL9n</x:v>
      </x:c>
      <x:c r="L74" s="12" t="str">
        <x:v>f00eefecaa1b5bac3c4a7b722d84d54ec9e7698c9e696b44d8fa6acd59a6fe6f</x:v>
      </x:c>
    </x:row>
    <x:row r="75" ht="27" customHeight="1">
      <x:c r="A75" s="12" t="str">
        <x:v>A32-05.ifc</x:v>
      </x:c>
      <x:c r="B75" s="12" t="str">
        <x:v>3kb12WtljGdv56NBX8VXPT</x:v>
      </x:c>
      <x:c r="C75" s="12" t="str">
        <x:v>IfcSlab</x:v>
      </x:c>
      <x:c r="D75" s="13" t="str">
        <x:v>05</x:v>
      </x:c>
      <x:c r="E75" s="12" t="str">
        <x:v>SLAB_XY_PROFILE_PROJECTION</x:v>
      </x:c>
      <x:c r="F75" s="14" t="n">
        <x:v>30.190483399099442</x:v>
      </x:c>
      <x:c r="G75" s="12" t="str">
        <x:v>m2</x:v>
      </x:c>
      <x:c r="H75" s="12" t="str">
        <x:v>Single placed slab projection; overlaps remain until storey union. Model boundary, not legal room area.</x:v>
      </x:c>
      <x:c r="I75" s="12" t="str">
        <x:v>S-U03 / 25형 슬래브</x:v>
      </x:c>
      <x:c r="J75" s="12" t="str">
        <x:v>floor</x:v>
      </x:c>
      <x:c r="K75" s="12" t="str">
        <x:v>2ugvewtsnLXv6Ty7TzA44D</x:v>
      </x:c>
      <x:c r="L75" s="12" t="str">
        <x:v>f00eefecaa1b5bac3c4a7b722d84d54ec9e7698c9e696b44d8fa6acd59a6fe6f</x:v>
      </x:c>
    </x:row>
    <x:row r="76" ht="27" customHeight="1">
      <x:c r="A76" s="12" t="str">
        <x:v>A32-05.ifc</x:v>
      </x:c>
      <x:c r="B76" s="12" t="str">
        <x:v>3kuPkvyj9NtfRu9oIhvto2</x:v>
      </x:c>
      <x:c r="C76" s="12" t="str">
        <x:v>IfcSpace</x:v>
      </x:c>
      <x:c r="D76" s="13" t="str">
        <x:v>05</x:v>
      </x:c>
      <x:c r="E76" s="12" t="str">
        <x:v>NO_SPACE_GEOMETRY</x:v>
      </x:c>
      <x:c r="F76" s="14"/>
      <x:c r="G76" s="12" t="str">
        <x:v>m2</x:v>
      </x:c>
      <x:c r="H76" s="12" t="str">
        <x:v>Missing space geometry. Blank area is not zero; use separately labelled contained slab union.</x:v>
      </x:c>
      <x:c r="I76" s="12" t="str">
        <x:v>05-U08 / 57형</x:v>
      </x:c>
      <x:c r="J76" s="12" t="str">
        <x:v>space</x:v>
      </x:c>
      <x:c r="K76" s="12" t="str"/>
      <x:c r="L76" s="12" t="str">
        <x:v>f00eefecaa1b5bac3c4a7b722d84d54ec9e7698c9e696b44d8fa6acd59a6fe6f</x:v>
      </x:c>
    </x:row>
    <x:row r="77" ht="27" customHeight="1">
      <x:c r="A77" s="12" t="str">
        <x:v>A32-05.ifc</x:v>
      </x:c>
      <x:c r="B77" s="12" t="str">
        <x:v>3u_54LiI9MqPSLzp3aAwBA</x:v>
      </x:c>
      <x:c r="C77" s="12" t="str">
        <x:v>IfcSlab</x:v>
      </x:c>
      <x:c r="D77" s="13" t="str">
        <x:v>05</x:v>
      </x:c>
      <x:c r="E77" s="12" t="str">
        <x:v>SLAB_XY_PROFILE_PROJECTION</x:v>
      </x:c>
      <x:c r="F77" s="14" t="n">
        <x:v>0.0002967330098412863</x:v>
      </x:c>
      <x:c r="G77" s="12" t="str">
        <x:v>m2</x:v>
      </x:c>
      <x:c r="H77" s="12" t="str">
        <x:v>Single placed slab projection; overlaps remain until storey union. Model boundary, not legal room area.</x:v>
      </x:c>
      <x:c r="I77" s="12" t="str">
        <x:v>S-U02 / 25형 슬래브</x:v>
      </x:c>
      <x:c r="J77" s="12" t="str">
        <x:v>floor</x:v>
      </x:c>
      <x:c r="K77" s="12" t="str">
        <x:v>3VPvKkXHnMvu6T3F8rysFb</x:v>
      </x:c>
      <x:c r="L77" s="12" t="str">
        <x:v>f00eefecaa1b5bac3c4a7b722d84d54ec9e7698c9e696b44d8fa6acd59a6fe6f</x:v>
      </x:c>
    </x:row>
    <x:row r="78" ht="27" customHeight="1">
      <x:c r="A78" s="12" t="str">
        <x:v>A32-05.ifc</x:v>
      </x:c>
      <x:c r="B78" s="12" t="str">
        <x:v>3u_yPaOTTM2eCBmod1KAe_</x:v>
      </x:c>
      <x:c r="C78" s="12" t="str">
        <x:v>IfcSlab</x:v>
      </x:c>
      <x:c r="D78" s="13" t="str">
        <x:v>05</x:v>
      </x:c>
      <x:c r="E78" s="12" t="str">
        <x:v>SLAB_XY_PROFILE_PROJECTION</x:v>
      </x:c>
      <x:c r="F78" s="14" t="n">
        <x:v>30.190625429351094</x:v>
      </x:c>
      <x:c r="G78" s="12" t="str">
        <x:v>m2</x:v>
      </x:c>
      <x:c r="H78" s="12" t="str">
        <x:v>Single placed slab projection; overlaps remain until storey union. Model boundary, not legal room area.</x:v>
      </x:c>
      <x:c r="I78" s="12" t="str">
        <x:v>S-U11 / 25형 슬래브</x:v>
      </x:c>
      <x:c r="J78" s="12" t="str">
        <x:v>floor</x:v>
      </x:c>
      <x:c r="K78" s="12" t="str">
        <x:v>2YXYoS1ZLQpfDHBC3EIEx0</x:v>
      </x:c>
      <x:c r="L78" s="12" t="str">
        <x:v>f00eefecaa1b5bac3c4a7b722d84d54ec9e7698c9e696b44d8fa6acd59a6fe6f</x:v>
      </x:c>
    </x:row>
    <x:row r="79" ht="27" customHeight="1">
      <x:c r="A79" s="12" t="str">
        <x:v>A32-05.ifc</x:v>
      </x:c>
      <x:c r="B79" s="12" t="str">
        <x:v>3vlxPgw2fR$xaOtIj$mi9T</x:v>
      </x:c>
      <x:c r="C79" s="12" t="str">
        <x:v>IfcSlab</x:v>
      </x:c>
      <x:c r="D79" s="13" t="str">
        <x:v>05</x:v>
      </x:c>
      <x:c r="E79" s="12" t="str">
        <x:v>SLAB_XY_PROFILE_PROJECTION</x:v>
      </x:c>
      <x:c r="F79" s="14" t="n">
        <x:v>0.0001287978782396956</x:v>
      </x:c>
      <x:c r="G79" s="12" t="str">
        <x:v>m2</x:v>
      </x:c>
      <x:c r="H79" s="12" t="str">
        <x:v>Single placed slab projection; overlaps remain until storey union. Model boundary, not legal room area.</x:v>
      </x:c>
      <x:c r="I79" s="12" t="str">
        <x:v>S-COM / 복도·코어 슬래브</x:v>
      </x:c>
      <x:c r="J79" s="12" t="str">
        <x:v>floor</x:v>
      </x:c>
      <x:c r="K79" s="12" t="str">
        <x:v>3wjGnO9anRWwragRYf5nHv</x:v>
      </x:c>
      <x:c r="L79" s="12" t="str">
        <x:v>f00eefecaa1b5bac3c4a7b722d84d54ec9e7698c9e696b44d8fa6acd59a6fe6f</x:v>
      </x:c>
    </x:row>
    <x:row r="80" ht="27" customHeight="1">
      <x:c r="A80" s="12" t="str">
        <x:v>A32-05.ifc</x:v>
      </x:c>
      <x:c r="B80" s="12" t="str">
        <x:v>3wBnfimorUXAIcEdfLIITQ</x:v>
      </x:c>
      <x:c r="C80" s="12" t="str">
        <x:v>IfcSpace</x:v>
      </x:c>
      <x:c r="D80" s="13" t="str">
        <x:v>05</x:v>
      </x:c>
      <x:c r="E80" s="12" t="str">
        <x:v>NO_SPACE_GEOMETRY</x:v>
      </x:c>
      <x:c r="F80" s="14"/>
      <x:c r="G80" s="12" t="str">
        <x:v>m2</x:v>
      </x:c>
      <x:c r="H80" s="12" t="str">
        <x:v>Missing space geometry. Blank area is not zero; use separately labelled contained slab union.</x:v>
      </x:c>
      <x:c r="I80" s="12" t="str">
        <x:v>05-U13 / 65형</x:v>
      </x:c>
      <x:c r="J80" s="12" t="str">
        <x:v>space</x:v>
      </x:c>
      <x:c r="K80" s="12" t="str"/>
      <x:c r="L80" s="12" t="str">
        <x:v>f00eefecaa1b5bac3c4a7b722d84d54ec9e7698c9e696b44d8fa6acd59a6fe6f</x:v>
      </x:c>
    </x:row>
    <x:row r="81" ht="27" customHeight="1">
      <x:c r="A81" s="12" t="str">
        <x:v>A32-05.ifc</x:v>
      </x:c>
      <x:c r="B81" s="12" t="str">
        <x:v>3wmj4VIn5REQhLM6rYtkg4</x:v>
      </x:c>
      <x:c r="C81" s="12" t="str">
        <x:v>IfcSpace</x:v>
      </x:c>
      <x:c r="D81" s="13" t="str">
        <x:v>05</x:v>
      </x:c>
      <x:c r="E81" s="12" t="str">
        <x:v>NO_SPACE_GEOMETRY</x:v>
      </x:c>
      <x:c r="F81" s="14"/>
      <x:c r="G81" s="12" t="str">
        <x:v>m2</x:v>
      </x:c>
      <x:c r="H81" s="12" t="str">
        <x:v>Missing space geometry. Blank area is not zero; use separately labelled contained slab union.</x:v>
      </x:c>
      <x:c r="I81" s="12" t="str">
        <x:v>05-U04 / 25형</x:v>
      </x:c>
      <x:c r="J81" s="12" t="str">
        <x:v>space</x:v>
      </x:c>
      <x:c r="K81" s="12" t="str"/>
      <x:c r="L81" s="12" t="str">
        <x:v>f00eefecaa1b5bac3c4a7b722d84d54ec9e7698c9e696b44d8fa6acd59a6fe6f</x:v>
      </x:c>
    </x:row>
  </x:sheetData>
  <x:pageMargins left="0.7" right="0.7" top="0.75" bottom="0.75" header="0.3" footer="0.3"/>
  <x:tableParts count="1">
    <x:tablePart xmlns:r="http://schemas.openxmlformats.org/officeDocument/2006/relationships" r:id="R7f20c9edaeea47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12" hidden="0" customWidth="1"/>
    <x:col min="4" max="4" width="27" hidden="0" customWidth="1"/>
    <x:col min="5" max="5" width="44" hidden="0" customWidth="1"/>
    <x:col min="6" max="6" width="19" hidden="0" customWidth="1"/>
    <x:col min="7" max="7" width="9" hidden="0" customWidth="1"/>
    <x:col min="8" max="8" width="19" hidden="0" customWidth="1"/>
    <x:col min="9" max="9" width="13" hidden="0" customWidth="1"/>
    <x:col min="10" max="10" width="9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2" t="str">
        <x:v>Registered unit slab unions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7" customHeight="1">
      <x:c r="A3" s="2" t="str">
        <x:v>A32-05 spaces identify units but have no own geometry. Each union uses its contained ordinary slabs.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9" customHeight="1">
      <x:c r="A6" s="7" t="str">
        <x:v>inputfile</x:v>
      </x:c>
      <x:c r="B6" s="7" t="str">
        <x:v>GUID</x:v>
      </x:c>
      <x:c r="C6" s="7" t="str">
        <x:v>storey</x:v>
      </x:c>
      <x:c r="D6" s="7" t="str">
        <x:v>name</x:v>
      </x:c>
      <x:c r="E6" s="7" t="str">
        <x:v>basis</x:v>
      </x:c>
      <x:c r="F6" s="7" t="str">
        <x:v>area</x:v>
      </x:c>
      <x:c r="G6" s="7" t="str">
        <x:v>unit</x:v>
      </x:c>
      <x:c r="H6" s="7" t="str">
        <x:v>slab_occurrences</x:v>
      </x:c>
      <x:c r="I6" s="7" t="str">
        <x:v>type_code</x:v>
      </x:c>
      <x:c r="J6" s="7" t="str">
        <x:v>limitations</x:v>
      </x:c>
    </x:row>
    <x:row r="7" ht="27" customHeight="1">
      <x:c r="A7" s="2" t="str">
        <x:v>A32-05.ifc</x:v>
      </x:c>
      <x:c r="B7" s="2" t="str">
        <x:v>0pMV4NIYzJMfHmqY8GVA1_</x:v>
      </x:c>
      <x:c r="C7" s="11" t="str">
        <x:v>05</x:v>
      </x:c>
      <x:c r="D7" s="2" t="str">
        <x:v>05-U10 / 54형</x:v>
      </x:c>
      <x:c r="E7" s="2" t="str">
        <x:v>CONTAINED_ORDINARY_SLAB_XY_UNION</x:v>
      </x:c>
      <x:c r="F7" s="8" t="n">
        <x:v>61.21530326697451</x:v>
      </x:c>
      <x:c r="G7" s="2" t="str">
        <x:v>m2</x:v>
      </x:c>
      <x:c r="H7" s="2" t="n">
        <x:v>2</x:v>
      </x:c>
      <x:c r="I7" s="2" t="str">
        <x:v>54</x:v>
      </x:c>
      <x:c r="J7" s="2" t="str">
        <x:v>Registered unit slab union; not IfcSpace geometry or statutory exclusive area.</x:v>
      </x:c>
    </x:row>
    <x:row r="8" ht="27" customHeight="1">
      <x:c r="A8" s="2" t="str">
        <x:v>A32-05.ifc</x:v>
      </x:c>
      <x:c r="B8" s="2" t="str">
        <x:v>16X2wdLg1SPuii41nPku9c</x:v>
      </x:c>
      <x:c r="C8" s="11" t="str">
        <x:v>05</x:v>
      </x:c>
      <x:c r="D8" s="2" t="str">
        <x:v>05-U07 / 54형</x:v>
      </x:c>
      <x:c r="E8" s="2" t="str">
        <x:v>CONTAINED_ORDINARY_SLAB_XY_UNION</x:v>
      </x:c>
      <x:c r="F8" s="8" t="n">
        <x:v>61.215338846311084</x:v>
      </x:c>
      <x:c r="G8" s="2" t="str">
        <x:v>m2</x:v>
      </x:c>
      <x:c r="H8" s="2" t="n">
        <x:v>2</x:v>
      </x:c>
      <x:c r="I8" s="2" t="str">
        <x:v>54</x:v>
      </x:c>
      <x:c r="J8" s="2" t="str">
        <x:v>Registered unit slab union; not IfcSpace geometry or statutory exclusive area.</x:v>
      </x:c>
    </x:row>
    <x:row r="9" ht="27" customHeight="1">
      <x:c r="A9" s="2" t="str">
        <x:v>A32-05.ifc</x:v>
      </x:c>
      <x:c r="B9" s="2" t="str">
        <x:v>19iD1OxwvGT93HRFx_aXOR</x:v>
      </x:c>
      <x:c r="C9" s="11" t="str">
        <x:v>05</x:v>
      </x:c>
      <x:c r="D9" s="2" t="str">
        <x:v>05-U11 / 25형</x:v>
      </x:c>
      <x:c r="E9" s="2" t="str">
        <x:v>CONTAINED_ORDINARY_SLAB_XY_UNION</x:v>
      </x:c>
      <x:c r="F9" s="8" t="n">
        <x:v>30.19080000000026</x:v>
      </x:c>
      <x:c r="G9" s="2" t="str">
        <x:v>m2</x:v>
      </x:c>
      <x:c r="H9" s="2" t="n">
        <x:v>3</x:v>
      </x:c>
      <x:c r="I9" s="2" t="str">
        <x:v>25</x:v>
      </x:c>
      <x:c r="J9" s="2" t="str">
        <x:v>Registered unit slab union; not IfcSpace geometry or statutory exclusive area.</x:v>
      </x:c>
    </x:row>
    <x:row r="10" ht="27" customHeight="1">
      <x:c r="A10" s="2" t="str">
        <x:v>A32-05.ifc</x:v>
      </x:c>
      <x:c r="B10" s="2" t="str">
        <x:v>1Ywx1baEXNh8GHC22k_iFO</x:v>
      </x:c>
      <x:c r="C10" s="11" t="str">
        <x:v>05</x:v>
      </x:c>
      <x:c r="D10" s="2" t="str">
        <x:v>05-U02 / 25형</x:v>
      </x:c>
      <x:c r="E10" s="2" t="str">
        <x:v>CONTAINED_ORDINARY_SLAB_XY_UNION</x:v>
      </x:c>
      <x:c r="F10" s="8" t="n">
        <x:v>30.190800000000007</x:v>
      </x:c>
      <x:c r="G10" s="2" t="str">
        <x:v>m2</x:v>
      </x:c>
      <x:c r="H10" s="2" t="n">
        <x:v>3</x:v>
      </x:c>
      <x:c r="I10" s="2" t="str">
        <x:v>25</x:v>
      </x:c>
      <x:c r="J10" s="2" t="str">
        <x:v>Registered unit slab union; not IfcSpace geometry or statutory exclusive area.</x:v>
      </x:c>
    </x:row>
    <x:row r="11" ht="27" customHeight="1">
      <x:c r="A11" s="2" t="str">
        <x:v>A32-05.ifc</x:v>
      </x:c>
      <x:c r="B11" s="2" t="str">
        <x:v>1tsyBJ2hrM_Qi6uDU7Q9sd</x:v>
      </x:c>
      <x:c r="C11" s="11" t="str">
        <x:v>05</x:v>
      </x:c>
      <x:c r="D11" s="2" t="str">
        <x:v>05-U14 / 54형</x:v>
      </x:c>
      <x:c r="E11" s="2" t="str">
        <x:v>CONTAINED_ORDINARY_SLAB_XY_UNION</x:v>
      </x:c>
      <x:c r="F11" s="8" t="n">
        <x:v>61.215338846310985</x:v>
      </x:c>
      <x:c r="G11" s="2" t="str">
        <x:v>m2</x:v>
      </x:c>
      <x:c r="H11" s="2" t="n">
        <x:v>2</x:v>
      </x:c>
      <x:c r="I11" s="2" t="str">
        <x:v>54</x:v>
      </x:c>
      <x:c r="J11" s="2" t="str">
        <x:v>Registered unit slab union; not IfcSpace geometry or statutory exclusive area.</x:v>
      </x:c>
    </x:row>
    <x:row r="12" ht="27" customHeight="1">
      <x:c r="A12" s="2" t="str">
        <x:v>A32-05.ifc</x:v>
      </x:c>
      <x:c r="B12" s="2" t="str">
        <x:v>2Aqr3M5jXJUR0dsY568XA0</x:v>
      </x:c>
      <x:c r="C12" s="11" t="str">
        <x:v>05</x:v>
      </x:c>
      <x:c r="D12" s="2" t="str">
        <x:v>05-U05 / 25형</x:v>
      </x:c>
      <x:c r="E12" s="2" t="str">
        <x:v>CONTAINED_ORDINARY_SLAB_XY_UNION</x:v>
      </x:c>
      <x:c r="F12" s="8" t="n">
        <x:v>30.190799999999978</x:v>
      </x:c>
      <x:c r="G12" s="2" t="str">
        <x:v>m2</x:v>
      </x:c>
      <x:c r="H12" s="2" t="n">
        <x:v>3</x:v>
      </x:c>
      <x:c r="I12" s="2" t="str">
        <x:v>25</x:v>
      </x:c>
      <x:c r="J12" s="2" t="str">
        <x:v>Registered unit slab union; not IfcSpace geometry or statutory exclusive area.</x:v>
      </x:c>
    </x:row>
    <x:row r="13" ht="27" customHeight="1">
      <x:c r="A13" s="2" t="str">
        <x:v>A32-05.ifc</x:v>
      </x:c>
      <x:c r="B13" s="2" t="str">
        <x:v>2cOi3GgEvT0QRU8$lyyQeE</x:v>
      </x:c>
      <x:c r="C13" s="11" t="str">
        <x:v>05</x:v>
      </x:c>
      <x:c r="D13" s="2" t="str">
        <x:v>05-U12 / 25형</x:v>
      </x:c>
      <x:c r="E13" s="2" t="str">
        <x:v>CONTAINED_ORDINARY_SLAB_XY_UNION</x:v>
      </x:c>
      <x:c r="F13" s="8" t="n">
        <x:v>30.19080000000019</x:v>
      </x:c>
      <x:c r="G13" s="2" t="str">
        <x:v>m2</x:v>
      </x:c>
      <x:c r="H13" s="2" t="n">
        <x:v>3</x:v>
      </x:c>
      <x:c r="I13" s="2" t="str">
        <x:v>25</x:v>
      </x:c>
      <x:c r="J13" s="2" t="str">
        <x:v>Registered unit slab union; not IfcSpace geometry or statutory exclusive area.</x:v>
      </x:c>
    </x:row>
    <x:row r="14" ht="27" customHeight="1">
      <x:c r="A14" s="2" t="str">
        <x:v>A32-05.ifc</x:v>
      </x:c>
      <x:c r="B14" s="2" t="str">
        <x:v>2d4XRHmTnPlvMROLmcP_Pw</x:v>
      </x:c>
      <x:c r="C14" s="11" t="str">
        <x:v>05</x:v>
      </x:c>
      <x:c r="D14" s="2" t="str">
        <x:v>05-U06 / 54형</x:v>
      </x:c>
      <x:c r="E14" s="2" t="str">
        <x:v>CONTAINED_ORDINARY_SLAB_XY_UNION</x:v>
      </x:c>
      <x:c r="F14" s="8" t="n">
        <x:v>61.21560000001933</x:v>
      </x:c>
      <x:c r="G14" s="2" t="str">
        <x:v>m2</x:v>
      </x:c>
      <x:c r="H14" s="2" t="n">
        <x:v>3</x:v>
      </x:c>
      <x:c r="I14" s="2" t="str">
        <x:v>54</x:v>
      </x:c>
      <x:c r="J14" s="2" t="str">
        <x:v>Registered unit slab union; not IfcSpace geometry or statutory exclusive area.</x:v>
      </x:c>
    </x:row>
    <x:row r="15" ht="27" customHeight="1">
      <x:c r="A15" s="2" t="str">
        <x:v>A32-05.ifc</x:v>
      </x:c>
      <x:c r="B15" s="2" t="str">
        <x:v>2tpeCRKKrTLAIT1vugvqJX</x:v>
      </x:c>
      <x:c r="C15" s="11" t="str">
        <x:v>05</x:v>
      </x:c>
      <x:c r="D15" s="2" t="str">
        <x:v>05-U01 / 84B형</x:v>
      </x:c>
      <x:c r="E15" s="2" t="str">
        <x:v>CONTAINED_ORDINARY_SLAB_XY_UNION</x:v>
      </x:c>
      <x:c r="F15" s="8" t="n">
        <x:v>92.74080069676786</x:v>
      </x:c>
      <x:c r="G15" s="2" t="str">
        <x:v>m2</x:v>
      </x:c>
      <x:c r="H15" s="2" t="n">
        <x:v>3</x:v>
      </x:c>
      <x:c r="I15" s="2" t="str">
        <x:v>84B</x:v>
      </x:c>
      <x:c r="J15" s="2" t="str">
        <x:v>Registered unit slab union; not IfcSpace geometry or statutory exclusive area.</x:v>
      </x:c>
    </x:row>
    <x:row r="16" ht="27" customHeight="1">
      <x:c r="A16" s="2" t="str">
        <x:v>A32-05.ifc</x:v>
      </x:c>
      <x:c r="B16" s="2" t="str">
        <x:v>37sXW19A1PwfBgiKVzuVvv</x:v>
      </x:c>
      <x:c r="C16" s="11" t="str">
        <x:v>05</x:v>
      </x:c>
      <x:c r="D16" s="2" t="str">
        <x:v>05-U09 / 84A형</x:v>
      </x:c>
      <x:c r="E16" s="2" t="str">
        <x:v>CONTAINED_ORDINARY_SLAB_XY_UNION</x:v>
      </x:c>
      <x:c r="F16" s="8" t="n">
        <x:v>93.574404836108</x:v>
      </x:c>
      <x:c r="G16" s="2" t="str">
        <x:v>m2</x:v>
      </x:c>
      <x:c r="H16" s="2" t="n">
        <x:v>2</x:v>
      </x:c>
      <x:c r="I16" s="2" t="str">
        <x:v>84A</x:v>
      </x:c>
      <x:c r="J16" s="2" t="str">
        <x:v>Registered unit slab union; not IfcSpace geometry or statutory exclusive area.</x:v>
      </x:c>
    </x:row>
    <x:row r="17" ht="27" customHeight="1">
      <x:c r="A17" s="2" t="str">
        <x:v>A32-05.ifc</x:v>
      </x:c>
      <x:c r="B17" s="2" t="str">
        <x:v>3c8ZQECcHGLxWOv84J7Alu</x:v>
      </x:c>
      <x:c r="C17" s="11" t="str">
        <x:v>05</x:v>
      </x:c>
      <x:c r="D17" s="2" t="str">
        <x:v>05-U03 / 25형</x:v>
      </x:c>
      <x:c r="E17" s="2" t="str">
        <x:v>CONTAINED_ORDINARY_SLAB_XY_UNION</x:v>
      </x:c>
      <x:c r="F17" s="8" t="n">
        <x:v>30.190799999999978</x:v>
      </x:c>
      <x:c r="G17" s="2" t="str">
        <x:v>m2</x:v>
      </x:c>
      <x:c r="H17" s="2" t="n">
        <x:v>3</x:v>
      </x:c>
      <x:c r="I17" s="2" t="str">
        <x:v>25</x:v>
      </x:c>
      <x:c r="J17" s="2" t="str">
        <x:v>Registered unit slab union; not IfcSpace geometry or statutory exclusive area.</x:v>
      </x:c>
    </x:row>
    <x:row r="18" ht="27" customHeight="1">
      <x:c r="A18" s="2" t="str">
        <x:v>A32-05.ifc</x:v>
      </x:c>
      <x:c r="B18" s="2" t="str">
        <x:v>3kuPkvyj9NtfRu9oIhvto2</x:v>
      </x:c>
      <x:c r="C18" s="11" t="str">
        <x:v>05</x:v>
      </x:c>
      <x:c r="D18" s="2" t="str">
        <x:v>05-U08 / 57형</x:v>
      </x:c>
      <x:c r="E18" s="2" t="str">
        <x:v>CONTAINED_ORDINARY_SLAB_XY_UNION</x:v>
      </x:c>
      <x:c r="F18" s="8" t="n">
        <x:v>64.63495422699344</x:v>
      </x:c>
      <x:c r="G18" s="2" t="str">
        <x:v>m2</x:v>
      </x:c>
      <x:c r="H18" s="2" t="n">
        <x:v>2</x:v>
      </x:c>
      <x:c r="I18" s="2" t="str">
        <x:v>57</x:v>
      </x:c>
      <x:c r="J18" s="2" t="str">
        <x:v>Registered unit slab union; not IfcSpace geometry or statutory exclusive area.</x:v>
      </x:c>
    </x:row>
    <x:row r="19" ht="27" customHeight="1">
      <x:c r="A19" s="2" t="str">
        <x:v>A32-05.ifc</x:v>
      </x:c>
      <x:c r="B19" s="2" t="str">
        <x:v>3wBnfimorUXAIcEdfLIITQ</x:v>
      </x:c>
      <x:c r="C19" s="11" t="str">
        <x:v>05</x:v>
      </x:c>
      <x:c r="D19" s="2" t="str">
        <x:v>05-U13 / 65형</x:v>
      </x:c>
      <x:c r="E19" s="2" t="str">
        <x:v>CONTAINED_ORDINARY_SLAB_XY_UNION</x:v>
      </x:c>
      <x:c r="F19" s="8" t="n">
        <x:v>72.55764468531567</x:v>
      </x:c>
      <x:c r="G19" s="2" t="str">
        <x:v>m2</x:v>
      </x:c>
      <x:c r="H19" s="2" t="n">
        <x:v>1</x:v>
      </x:c>
      <x:c r="I19" s="2" t="str">
        <x:v>65</x:v>
      </x:c>
      <x:c r="J19" s="2" t="str">
        <x:v>Registered unit slab union; not IfcSpace geometry or statutory exclusive area.</x:v>
      </x:c>
    </x:row>
    <x:row r="20" ht="27" customHeight="1">
      <x:c r="A20" s="2" t="str">
        <x:v>A32-05.ifc</x:v>
      </x:c>
      <x:c r="B20" s="2" t="str">
        <x:v>3wmj4VIn5REQhLM6rYtkg4</x:v>
      </x:c>
      <x:c r="C20" s="11" t="str">
        <x:v>05</x:v>
      </x:c>
      <x:c r="D20" s="2" t="str">
        <x:v>05-U04 / 25형</x:v>
      </x:c>
      <x:c r="E20" s="2" t="str">
        <x:v>CONTAINED_ORDINARY_SLAB_XY_UNION</x:v>
      </x:c>
      <x:c r="F20" s="8" t="n">
        <x:v>30.190799303370703</x:v>
      </x:c>
      <x:c r="G20" s="2" t="str">
        <x:v>m2</x:v>
      </x:c>
      <x:c r="H20" s="2" t="n">
        <x:v>3</x:v>
      </x:c>
      <x:c r="I20" s="2" t="str">
        <x:v>25</x:v>
      </x:c>
      <x:c r="J20" s="2" t="str">
        <x:v>Registered unit slab union; not IfcSpace geometry or statutory exclusive area.</x:v>
      </x:c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7" customHeight="1">
      <x:c r="A22" s="2"/>
      <x:c r="B22" s="2"/>
      <x:c r="C22" s="2"/>
      <x:c r="D22" s="2"/>
      <x:c r="E22" s="2" t="str">
        <x:v>Sum (m²)</x:v>
      </x:c>
      <x:c r="F22" s="8" t="n">
        <x:f>SUM(F7:F20)</x:f>
        <x:v>749.5141847081719</x:v>
      </x:c>
      <x:c r="G22" s="2"/>
      <x:c r="H22" s="2"/>
      <x:c r="I22" s="2"/>
      <x:c r="J2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6" hidden="0" customWidth="1"/>
    <x:col min="4" max="4" width="17" hidden="0" customWidth="1"/>
    <x:col min="5" max="5" width="17" hidden="0" customWidth="1"/>
    <x:col min="6" max="6" width="20" hidden="0" customWidth="1"/>
    <x:col min="7" max="7" width="25" hidden="0" customWidth="1"/>
    <x:col min="8" max="8" width="4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2"/>
      <x:c r="B2" s="2" t="str">
        <x:v>A32 25-type source dimensions</x:v>
      </x:c>
      <x:c r="C2" s="2"/>
      <x:c r="D2" s="2"/>
      <x:c r="E2" s="2"/>
      <x:c r="F2" s="2"/>
      <x:c r="G2" s="2"/>
      <x:c r="H2" s="2"/>
    </x:row>
    <x:row r="3" ht="27" customHeight="1">
      <x:c r="A3" s="2"/>
      <x:c r="B3" s="2" t="str">
        <x:v>Drawing A17-001, architecture PDF page 31. This is not standalone 25B.</x:v>
      </x:c>
      <x:c r="C3" s="2"/>
      <x:c r="D3" s="2"/>
      <x:c r="E3" s="2"/>
      <x:c r="F3" s="2"/>
      <x:c r="G3" s="2"/>
      <x:c r="H3" s="2"/>
    </x:row>
    <x:row r="4" ht="27" customHeight="1">
      <x:c r="A4" s="2"/>
      <x:c r="B4" s="2" t="str">
        <x:v>Manual drawing dimension worksheet; separate from IFC-space and slab measurements.</x:v>
      </x:c>
      <x:c r="C4" s="2"/>
      <x:c r="D4" s="2"/>
      <x:c r="E4" s="2"/>
      <x:c r="F4" s="2"/>
      <x:c r="G4" s="2"/>
      <x:c r="H4" s="2"/>
    </x:row>
    <x:row r="5" ht="27" customHeight="1">
      <x:c r="A5" s="2"/>
      <x:c r="B5" s="2"/>
      <x:c r="C5" s="2"/>
      <x:c r="D5" s="2"/>
      <x:c r="E5" s="2"/>
      <x:c r="F5" s="2"/>
      <x:c r="G5" s="2"/>
      <x:c r="H5" s="2"/>
    </x:row>
    <x:row r="6" ht="39" customHeight="1">
      <x:c r="A6" s="2"/>
      <x:c r="B6" s="7" t="str">
        <x:v>Room</x:v>
      </x:c>
      <x:c r="C6" s="7" t="str">
        <x:v>Zone</x:v>
      </x:c>
      <x:c r="D6" s="7" t="str">
        <x:v>Width (m)</x:v>
      </x:c>
      <x:c r="E6" s="7" t="str">
        <x:v>Height (m)</x:v>
      </x:c>
      <x:c r="F6" s="7" t="str">
        <x:v>Area (m²)</x:v>
      </x:c>
      <x:c r="G6" s="7" t="str">
        <x:v>Basis</x:v>
      </x:c>
      <x:c r="H6" s="7" t="str">
        <x:v>Limitation</x:v>
      </x:c>
    </x:row>
    <x:row r="7" ht="27" customHeight="1">
      <x:c r="A7" s="2"/>
      <x:c r="B7" s="2" t="str">
        <x:v>거실</x:v>
      </x:c>
      <x:c r="C7" s="2" t="str">
        <x:v>1</x:v>
      </x:c>
      <x:c r="D7" s="15" t="n">
        <x:v>3.4</x:v>
      </x:c>
      <x:c r="E7" s="15" t="n">
        <x:v>2.53</x:v>
      </x:c>
      <x:c r="F7" s="10" t="n">
        <x:f>D7*E7</x:f>
        <x:v>8.601999999999999</x:v>
      </x:c>
      <x:c r="G7" s="2" t="str">
        <x:v>Drawing dimensions</x:v>
      </x:c>
      <x:c r="H7" s="2" t="str">
        <x:v>Printed dimension boundary; not IFC measurement</x:v>
      </x:c>
    </x:row>
    <x:row r="8" ht="27" customHeight="1">
      <x:c r="A8" s="2"/>
      <x:c r="B8" s="2" t="str">
        <x:v>거실</x:v>
      </x:c>
      <x:c r="C8" s="2" t="str">
        <x:v>2</x:v>
      </x:c>
      <x:c r="D8" s="15" t="n">
        <x:v>3.37</x:v>
      </x:c>
      <x:c r="E8" s="15" t="n">
        <x:v>0.97</x:v>
      </x:c>
      <x:c r="F8" s="10" t="n">
        <x:f>D8*E8</x:f>
        <x:v>3.2689</x:v>
      </x:c>
      <x:c r="G8" s="2" t="str">
        <x:v>Drawing dimensions</x:v>
      </x:c>
      <x:c r="H8" s="2" t="str">
        <x:v>Printed dimension boundary; not IFC measurement</x:v>
      </x:c>
    </x:row>
    <x:row r="9" ht="27" customHeight="1">
      <x:c r="A9" s="2"/>
      <x:c r="B9" s="2" t="str">
        <x:v>주방</x:v>
      </x:c>
      <x:c r="C9" s="2" t="str">
        <x:v>3</x:v>
      </x:c>
      <x:c r="D9" s="15" t="n">
        <x:v>1.88</x:v>
      </x:c>
      <x:c r="E9" s="15" t="n">
        <x:v>0.68</x:v>
      </x:c>
      <x:c r="F9" s="10" t="n">
        <x:f>D9*E9</x:f>
        <x:v>1.2784</x:v>
      </x:c>
      <x:c r="G9" s="2" t="str">
        <x:v>Drawing dimensions</x:v>
      </x:c>
      <x:c r="H9" s="2" t="str">
        <x:v>Printed dimension boundary; not IFC measurement</x:v>
      </x:c>
    </x:row>
    <x:row r="10" ht="27" customHeight="1">
      <x:c r="A10" s="2"/>
      <x:c r="B10" s="2" t="str">
        <x:v>주방</x:v>
      </x:c>
      <x:c r="C10" s="2" t="str">
        <x:v>4</x:v>
      </x:c>
      <x:c r="D10" s="15" t="n">
        <x:v>1.91</x:v>
      </x:c>
      <x:c r="E10" s="15" t="n">
        <x:v>1.12</x:v>
      </x:c>
      <x:c r="F10" s="10" t="n">
        <x:f>D10*E10</x:f>
        <x:v>2.1392</x:v>
      </x:c>
      <x:c r="G10" s="2" t="str">
        <x:v>Drawing dimensions</x:v>
      </x:c>
      <x:c r="H10" s="2" t="str">
        <x:v>Printed dimension boundary; not IFC measurement</x:v>
      </x:c>
    </x:row>
    <x:row r="11" ht="27" customHeight="1">
      <x:c r="A11" s="2"/>
      <x:c r="B11" s="2" t="str">
        <x:v>욕실</x:v>
      </x:c>
      <x:c r="C11" s="2" t="str">
        <x:v>5</x:v>
      </x:c>
      <x:c r="D11" s="15" t="n">
        <x:v>1.42</x:v>
      </x:c>
      <x:c r="E11" s="15" t="n">
        <x:v>1.8</x:v>
      </x:c>
      <x:c r="F11" s="10" t="n">
        <x:f>D11*E11</x:f>
        <x:v>2.556</x:v>
      </x:c>
      <x:c r="G11" s="2" t="str">
        <x:v>Drawing dimensions</x:v>
      </x:c>
      <x:c r="H11" s="2" t="str">
        <x:v>Printed dimension boundary; not IFC measurement</x:v>
      </x:c>
    </x:row>
    <x:row r="12" ht="27" customHeight="1">
      <x:c r="A12" s="2"/>
      <x:c r="B12" s="2" t="str">
        <x:v>욕실</x:v>
      </x:c>
      <x:c r="C12" s="2" t="str">
        <x:v>6</x:v>
      </x:c>
      <x:c r="D12" s="15" t="n">
        <x:v>1.07</x:v>
      </x:c>
      <x:c r="E12" s="15" t="n">
        <x:v>0.57</x:v>
      </x:c>
      <x:c r="F12" s="10" t="n">
        <x:f>D12*E12</x:f>
        <x:v>0.6099</x:v>
      </x:c>
      <x:c r="G12" s="2" t="str">
        <x:v>Drawing dimensions</x:v>
      </x:c>
      <x:c r="H12" s="2" t="str">
        <x:v>Printed dimension boundary; not IFC measurement</x:v>
      </x:c>
    </x:row>
    <x:row r="13" ht="27" customHeight="1">
      <x:c r="A13" s="2"/>
      <x:c r="B13" s="2" t="str">
        <x:v>현관</x:v>
      </x:c>
      <x:c r="C13" s="2" t="str">
        <x:v>7</x:v>
      </x:c>
      <x:c r="D13" s="15" t="n">
        <x:v>1.59</x:v>
      </x:c>
      <x:c r="E13" s="15" t="n">
        <x:v>1.1</x:v>
      </x:c>
      <x:c r="F13" s="10" t="n">
        <x:f>D13*E13</x:f>
        <x:v>1.7490000000000003</x:v>
      </x:c>
      <x:c r="G13" s="2" t="str">
        <x:v>Drawing dimensions</x:v>
      </x:c>
      <x:c r="H13" s="2" t="str">
        <x:v>Printed dimension boundary; not IFC measurement</x:v>
      </x:c>
    </x:row>
    <x:row r="14" ht="27" customHeight="1">
      <x:c r="A14" s="2"/>
      <x:c r="B14" s="2"/>
      <x:c r="C14" s="2"/>
      <x:c r="D14" s="10"/>
      <x:c r="E14" s="10"/>
      <x:c r="F14" s="10"/>
      <x:c r="G14" s="2"/>
      <x:c r="H14" s="2"/>
    </x:row>
    <x:row r="15" ht="27" customHeight="1">
      <x:c r="A15" s="2"/>
      <x:c r="B15" s="2"/>
      <x:c r="C15" s="2"/>
      <x:c r="D15" s="10"/>
      <x:c r="E15" s="10" t="str">
        <x:v>Sum (m²)</x:v>
      </x:c>
      <x:c r="F15" s="10" t="n">
        <x:f>SUM(F7:F13)</x:f>
        <x:v>20.2034</x:v>
      </x:c>
      <x:c r="G15" s="2"/>
      <x:c r="H15" s="2"/>
    </x:row>
    <x:row r="16" ht="27" customHeight="1">
      <x:c r="A16" s="2"/>
      <x:c r="B16" s="2"/>
      <x:c r="C16" s="2"/>
      <x:c r="D16" s="2"/>
      <x:c r="E16" s="2"/>
      <x:c r="F16" s="2"/>
      <x:c r="G16" s="2"/>
      <x:c r="H16" s="2"/>
    </x:row>
    <x:row r="17" ht="27" customHeight="1">
      <x:c r="A17" s="2"/>
      <x:c r="B17" s="2" t="str">
        <x:v>Dimension cells are editable. Area cells recalculate with width × height.</x:v>
      </x:c>
      <x:c r="C17" s="2"/>
      <x:c r="D17" s="2"/>
      <x:c r="E17" s="2"/>
      <x:c r="F17" s="2"/>
      <x:c r="G17" s="2"/>
      <x:c r="H17" s="2"/>
    </x:row>
    <x:row r="18" ht="27" customHeight="1">
      <x:c r="A18" s="2"/>
      <x:c r="B18" s="2" t="str">
        <x:v>Do not compare A32 25-type directly to standalone 25B; type names do not supply areas.</x:v>
      </x:c>
      <x:c r="C18" s="2"/>
      <x:c r="D18" s="2"/>
      <x:c r="E18" s="2"/>
      <x:c r="F18" s="2"/>
      <x:c r="G18" s="2"/>
      <x:c r="H18" s="2"/>
    </x:row>
    <x:row r="19" ht="27" customHeight="1">
      <x:c r="A19" s="2"/>
      <x:c r="B19" s="2"/>
      <x:c r="C19" s="2"/>
      <x:c r="D19" s="2"/>
      <x:c r="E19" s="2"/>
      <x:c r="F19" s="2"/>
      <x:c r="G19" s="2"/>
      <x:c r="H19" s="2"/>
    </x:row>
    <x:row r="20" ht="27" customHeight="1">
      <x:c r="A20" s="2"/>
      <x:c r="B20" s="2" t="str">
        <x:v>Source PDF SHA256</x:v>
      </x:c>
      <x:c r="C20" s="2" t="str">
        <x:v>847f5241459b293c07bd2ecc7c3089f98c7d264ff203bae36bcdbe3c5fff9df1</x:v>
      </x:c>
      <x:c r="D20" s="2"/>
      <x:c r="E20" s="2"/>
      <x:c r="F20" s="2"/>
      <x:c r="G20" s="2"/>
      <x:c r="H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</x:row>
  </x:sheetData>
  <x:pageMargins left="0.7" right="0.7" top="0.75" bottom="0.75" header="0.3" footer="0.3"/>
</x:worksheet>
</file>